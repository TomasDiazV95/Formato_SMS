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2026/ABRIL/ASIGNACION/PORSCHE/07-04/"/>
    </mc:Choice>
  </mc:AlternateContent>
  <xr:revisionPtr revIDLastSave="16" documentId="8_{45E4CBB7-64C1-4BB4-AD3E-C2CE13237E89}" xr6:coauthVersionLast="47" xr6:coauthVersionMax="47" xr10:uidLastSave="{5A3958A9-FF65-4CB9-9092-4496E4528695}"/>
  <bookViews>
    <workbookView xWindow="-120" yWindow="-120" windowWidth="29040" windowHeight="15840" xr2:uid="{C0EDE7A8-2DAE-48B4-BED6-9B581DFCB3CD}"/>
  </bookViews>
  <sheets>
    <sheet name="Detalle1" sheetId="1" r:id="rId1"/>
    <sheet name="Hoja1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<sst xmlns="http://schemas.openxmlformats.org/spreadsheetml/2006/main" count="1101" uniqueCount="444">
  <si>
    <t>Phoenix</t>
  </si>
  <si>
    <t>211-240</t>
  </si>
  <si>
    <t>AUTOMOTRIZ CORDILLERA S.A. - SALAZAR ISRAEL TEMUCO</t>
  </si>
  <si>
    <t>Nuevo Polo Trendline</t>
  </si>
  <si>
    <t>VOLKSWAGEN</t>
  </si>
  <si>
    <t>LUIS2020APP@GMAIL.COM</t>
  </si>
  <si>
    <t>Laja</t>
  </si>
  <si>
    <t>Bío- Bío</t>
  </si>
  <si>
    <t>Del Bíobío</t>
  </si>
  <si>
    <t>PEDRO LAGOS 187</t>
  </si>
  <si>
    <t>Portal de pagos únicos</t>
  </si>
  <si>
    <t>Auto Credit</t>
  </si>
  <si>
    <t>20210435-5</t>
  </si>
  <si>
    <t>Masculino</t>
  </si>
  <si>
    <t>LUIS ESTEBAN LEONARDO ARAVENA SOTO</t>
  </si>
  <si>
    <t xml:space="preserve"> OPSA   E</t>
  </si>
  <si>
    <t>151-180</t>
  </si>
  <si>
    <t>PORSCHE INTER AUTO CHILE SPA - PLAZA NORTE</t>
  </si>
  <si>
    <t>Voyage Power</t>
  </si>
  <si>
    <t>SLONCON77@GMAIL.COM</t>
  </si>
  <si>
    <t>Conchalí</t>
  </si>
  <si>
    <t>Santiago  </t>
  </si>
  <si>
    <t>Metropolitana Santiago</t>
  </si>
  <si>
    <t>PJE. CANCHAS 5345</t>
  </si>
  <si>
    <t>13398123-3</t>
  </si>
  <si>
    <t>Femenino</t>
  </si>
  <si>
    <t>SONIA ISABEL LONCON COLICHEO</t>
  </si>
  <si>
    <t xml:space="preserve"> OPSA    </t>
  </si>
  <si>
    <t>121-150</t>
  </si>
  <si>
    <t>DIFOR LA FLORIDA</t>
  </si>
  <si>
    <t>Gol HB Power</t>
  </si>
  <si>
    <t>MAURICIOMOLINA.JJLC@GMAIL.COM</t>
  </si>
  <si>
    <t>San Miguel</t>
  </si>
  <si>
    <t>PORTO ALEGRE 5653</t>
  </si>
  <si>
    <t>Smart Credit</t>
  </si>
  <si>
    <t>17244647-7</t>
  </si>
  <si>
    <t>MAURICIO ANDRÉS MOLINA SALAZAR</t>
  </si>
  <si>
    <t>91-120</t>
  </si>
  <si>
    <t>PORSCHE INTER AUTO CHILE SPA - VW ZENTRUM</t>
  </si>
  <si>
    <t>Amarok Aventura</t>
  </si>
  <si>
    <t>CEO@MMSPRAY.CL</t>
  </si>
  <si>
    <t>Linares</t>
  </si>
  <si>
    <t>Linares  </t>
  </si>
  <si>
    <t>Del Maule</t>
  </si>
  <si>
    <t>AV LEON BUSTOS</t>
  </si>
  <si>
    <t>PAC Online</t>
  </si>
  <si>
    <t>77309907-3</t>
  </si>
  <si>
    <t>No definido</t>
  </si>
  <si>
    <t>DRONESPRAY SPA</t>
  </si>
  <si>
    <t>DEL REAL - RANCAGUA</t>
  </si>
  <si>
    <t>Taos Comfortline</t>
  </si>
  <si>
    <t>MJSAAVEDRAA@GMAIL.COM</t>
  </si>
  <si>
    <t>Rancagua</t>
  </si>
  <si>
    <t>Cachapoal</t>
  </si>
  <si>
    <t>Del Libertador B. O'Higgins</t>
  </si>
  <si>
    <t>AV. SAN JOAQUIN 31 423</t>
  </si>
  <si>
    <t>15379542-8</t>
  </si>
  <si>
    <t>JUAN IGNACIO DÍAZ DE VALDÉS ANICH</t>
  </si>
  <si>
    <t>PORSCHE VOLKSWAGEN SERVICIOS FINANCIEROS SPA</t>
  </si>
  <si>
    <t>Q3 Sportback Sport</t>
  </si>
  <si>
    <t>AUDI</t>
  </si>
  <si>
    <t>KLOHSEV@GMAIL.COM</t>
  </si>
  <si>
    <t>San Pedro de la Paz</t>
  </si>
  <si>
    <t>Concepción  </t>
  </si>
  <si>
    <t>JOHN SCOTT JACKSON 3084</t>
  </si>
  <si>
    <t>10995761-5</t>
  </si>
  <si>
    <t>KURT LOHSE VALENZUELA</t>
  </si>
  <si>
    <t>208 ALLURE 1.2 82HP</t>
  </si>
  <si>
    <t>PEUGEOT</t>
  </si>
  <si>
    <t>NATALIEBERENICE@ICLOUD.COM</t>
  </si>
  <si>
    <t>Coinco</t>
  </si>
  <si>
    <t>BERNARDO OHIGGINS SN</t>
  </si>
  <si>
    <t>15731149-2</t>
  </si>
  <si>
    <t>NATALIE BERENICE GONZALEZ DONOSO</t>
  </si>
  <si>
    <t>61-90</t>
  </si>
  <si>
    <t>DASHING MT 1.5</t>
  </si>
  <si>
    <t>JETOUR</t>
  </si>
  <si>
    <t>franciahenao502@gmail.com</t>
  </si>
  <si>
    <t>CHILOE 3601 DEPTO 502</t>
  </si>
  <si>
    <t>24654095-0</t>
  </si>
  <si>
    <t>FRANCIA LIZETH HENAO HERNANDEZ</t>
  </si>
  <si>
    <t>DIFOR PLAZA VESPUCIO</t>
  </si>
  <si>
    <t>T-Cross Comfortline</t>
  </si>
  <si>
    <t>ALBERTOHERRERAARAOS@GMAIL.COM</t>
  </si>
  <si>
    <t>Santiago</t>
  </si>
  <si>
    <t>AV LOS TOROS 05526 101D</t>
  </si>
  <si>
    <t>15037316-6</t>
  </si>
  <si>
    <t>ALBERTO ALONSO HERRERA ARAOS</t>
  </si>
  <si>
    <t>MARUBENI AUTO LTDA - MARUBENI ANTOFAGASTA</t>
  </si>
  <si>
    <t>Nivus Comfortline</t>
  </si>
  <si>
    <t>BM.MUNIZAGA@GMAIL.COM</t>
  </si>
  <si>
    <t>Antofagasta</t>
  </si>
  <si>
    <t>JOSE ARTIGAS 5255</t>
  </si>
  <si>
    <t>19101765-K</t>
  </si>
  <si>
    <t>BASTIÁN ANDRÉS MIRANDA MUNIZAGA</t>
  </si>
  <si>
    <t>PORSCHE INTER AUTO CHILE SPA - MOVICENTER - SEAT</t>
  </si>
  <si>
    <t>Tarraco Xcellence</t>
  </si>
  <si>
    <t>SEAT</t>
  </si>
  <si>
    <t>OJEDAV@GMAIL.COM</t>
  </si>
  <si>
    <t>AV INDEPENDENCIA 4599 1002</t>
  </si>
  <si>
    <t>17535176-0</t>
  </si>
  <si>
    <t>ENRIQUE GUILLERMO OJEDA VILLAGRAN</t>
  </si>
  <si>
    <t>AUTOMOTRIZ CORDILLERA S.A. - PRAT CONCEPCIÓN</t>
  </si>
  <si>
    <t>Amarok Comfortline</t>
  </si>
  <si>
    <t>JOISTRANSPORTES@GMAIL.COM</t>
  </si>
  <si>
    <t>Coronel</t>
  </si>
  <si>
    <t>ERNESTO PINTO LAGARRIGUE</t>
  </si>
  <si>
    <t>76882045-7</t>
  </si>
  <si>
    <t>CONSTRUCTORA Y COMERCIAL JOIS LIMITADA</t>
  </si>
  <si>
    <t>Ibiza FR</t>
  </si>
  <si>
    <t>DONRAFAF@GMAIL.COM</t>
  </si>
  <si>
    <t>Huechuraba</t>
  </si>
  <si>
    <t>RINCONADA EL SALTO 940 DPTO 1301</t>
  </si>
  <si>
    <t>13916772-4</t>
  </si>
  <si>
    <t>RAFAEL EDUARDO FUENZALIDA DELPIANO</t>
  </si>
  <si>
    <t>31-60</t>
  </si>
  <si>
    <t>AUTOMOTRIZ CORDILLERA S.A. - SALAZAR PLAZA OESTE</t>
  </si>
  <si>
    <t>Cupra Leon 5D 150 hp</t>
  </si>
  <si>
    <t>RUBENGUZMANSOTO97@GMAIL.COM</t>
  </si>
  <si>
    <t>BIO BIO 781</t>
  </si>
  <si>
    <t>10275978-8</t>
  </si>
  <si>
    <t>RUBEN MARCOS GUZMAN SOTO</t>
  </si>
  <si>
    <t>T-Cross Trendline</t>
  </si>
  <si>
    <t>VALENTINAROJASOLIVARES@GMAIL.COM</t>
  </si>
  <si>
    <t>Puente Alto</t>
  </si>
  <si>
    <t>Cordillera</t>
  </si>
  <si>
    <t>CAMINO DEL ACUEDUCTO 3460 56</t>
  </si>
  <si>
    <t>18249486-0</t>
  </si>
  <si>
    <t>VALENTINA SOLEDAD ROJAS OLIVARES</t>
  </si>
  <si>
    <t>Cupra Formentor Cupra</t>
  </si>
  <si>
    <t>LORCAKARINA@HOTMAIL.COM</t>
  </si>
  <si>
    <t>La Reina</t>
  </si>
  <si>
    <t>ALVARO CASANOVA 219 CASA N</t>
  </si>
  <si>
    <t>13064104-0</t>
  </si>
  <si>
    <t>KARINA ANDREA LORCA GONZALEZ</t>
  </si>
  <si>
    <t>Nuevo Polo Highline</t>
  </si>
  <si>
    <t>LULOPET@GMAIL.COM</t>
  </si>
  <si>
    <t>Peñalolén</t>
  </si>
  <si>
    <t>PEATONES G 6635 0</t>
  </si>
  <si>
    <t>15970383-5</t>
  </si>
  <si>
    <t>JENNIFER GUILLERMINA OPAZO MELO</t>
  </si>
  <si>
    <t>BRAULIO.SANDOVAL@GMAIL.COM</t>
  </si>
  <si>
    <t>Maipú</t>
  </si>
  <si>
    <t>LAUTARO 18544 13</t>
  </si>
  <si>
    <t>16121634-8</t>
  </si>
  <si>
    <t>BRAULIO ALFREDO SANDOVAL VIDAL</t>
  </si>
  <si>
    <t>Nuevo T-Cross Comfortline</t>
  </si>
  <si>
    <t>RAQUELANDREAGONZALEZ@GMAIL.COM</t>
  </si>
  <si>
    <t>AV. 10 DE JULIO N°1133, SECTOR 3 TORRE D DE</t>
  </si>
  <si>
    <t>16905983-7</t>
  </si>
  <si>
    <t>RAQUEL ANDREA GONZÁLEZ RÍOS</t>
  </si>
  <si>
    <t>Virtus Comfortline</t>
  </si>
  <si>
    <t>JAIROAMPUERO65@GMAIL.COM</t>
  </si>
  <si>
    <t>La Pintana</t>
  </si>
  <si>
    <t>PASAJE LA FUENTE 1695</t>
  </si>
  <si>
    <t>21053904-2</t>
  </si>
  <si>
    <t>JAIRO EDUARDO AMPUERO PIÑA</t>
  </si>
  <si>
    <t>Polo Highline</t>
  </si>
  <si>
    <t>ALVINOMARINGERSONRUBEN@GMAIL.COM</t>
  </si>
  <si>
    <t>Machalí</t>
  </si>
  <si>
    <t>PLAZA LAS VERTIENTES NORTE 918</t>
  </si>
  <si>
    <t>25805738-4</t>
  </si>
  <si>
    <t>GERSON RUBEN ALVINO MARIN</t>
  </si>
  <si>
    <t>Nuevo T-Cross Trendline</t>
  </si>
  <si>
    <t>DANI.BUSTAMANTE.P@GMAIL.COM</t>
  </si>
  <si>
    <t>Ñuñoa</t>
  </si>
  <si>
    <t>EXEQUIEL FERNANDEZ 1449 EDIF. C DPTO. 211</t>
  </si>
  <si>
    <t>16355772-K</t>
  </si>
  <si>
    <t>DANIELA ALEJANDRA BUSTAMANTE PARADA</t>
  </si>
  <si>
    <t>PORSCHE INTER AUTO CHILE SPA - VW IRARRAZAVAL</t>
  </si>
  <si>
    <t>Taos Highline</t>
  </si>
  <si>
    <t>CJOBET@YAHOO.ES</t>
  </si>
  <si>
    <t>Chillán</t>
  </si>
  <si>
    <t>Ñuble</t>
  </si>
  <si>
    <t>FUNDO LAS PEÑAS COLONIA BERNARDO O'HIGGINS LOTE 5</t>
  </si>
  <si>
    <t>11847385-K</t>
  </si>
  <si>
    <t>CLAUDIA ANDREA JOBET PRADO</t>
  </si>
  <si>
    <t>Saveiro Power</t>
  </si>
  <si>
    <t>GAREVALO@CUEROYDISENO.CL</t>
  </si>
  <si>
    <t>Vitacura</t>
  </si>
  <si>
    <t>MANQUEHUE NORTE 2041-B</t>
  </si>
  <si>
    <t>77587354-K</t>
  </si>
  <si>
    <t>SAN MARINO SPA</t>
  </si>
  <si>
    <t xml:space="preserve">Fabia </t>
  </si>
  <si>
    <t>SKODA</t>
  </si>
  <si>
    <t>PZUNIGAN@GMAIL.COM</t>
  </si>
  <si>
    <t>Puerto Octay</t>
  </si>
  <si>
    <t>Osorno  </t>
  </si>
  <si>
    <t>Los Lagos</t>
  </si>
  <si>
    <t>FUNDO EL VETERANO LOTE B S/N</t>
  </si>
  <si>
    <t>15377296-7</t>
  </si>
  <si>
    <t>MARCELO ANDRÉS ZÚÑIGA NAVARRO</t>
  </si>
  <si>
    <t>PORSCHE INTER AUTO CHILE SPA - MOVICENTER</t>
  </si>
  <si>
    <t>MAIKOLMULATOM@GMAIL.COM</t>
  </si>
  <si>
    <t>Quilicura</t>
  </si>
  <si>
    <t>AVDA LAS TORRES 250 76</t>
  </si>
  <si>
    <t>14152881-5</t>
  </si>
  <si>
    <t>MARCELA ALEJANDRA MACAYA MILLALEN</t>
  </si>
  <si>
    <t>ENRIQUE.PARRAGUEZ@YNK.CL</t>
  </si>
  <si>
    <t>RIO MAÑIHUALES</t>
  </si>
  <si>
    <t>12781697-2</t>
  </si>
  <si>
    <t>LUIS FERNANDO ITURRIAGA PARRAGUEZ</t>
  </si>
  <si>
    <t>DIFOR PLAZA TOBALABA</t>
  </si>
  <si>
    <t>Cupra Leon 5D Cupra</t>
  </si>
  <si>
    <t>CZUNIGA@LYZPROYECTOS.CL</t>
  </si>
  <si>
    <t>Providencia</t>
  </si>
  <si>
    <t>AV NUEVA PROVIDENCIA 1881 DPTO 1201</t>
  </si>
  <si>
    <t>Descuento por planilla</t>
  </si>
  <si>
    <t>76296998-K</t>
  </si>
  <si>
    <t>L&amp;Z ARQUITECTURA INGENIERÍAS Y CONSTRUCCIÓN LTDA</t>
  </si>
  <si>
    <t>JACOB HELO - BILBAO</t>
  </si>
  <si>
    <t>AGONZALEZ@METRO-OP.COM</t>
  </si>
  <si>
    <t>Las Condes</t>
  </si>
  <si>
    <t>BURGOS 111 D. 32</t>
  </si>
  <si>
    <t>16886865-0</t>
  </si>
  <si>
    <t>ANTONIO JESUS GONZALEZ DURAN</t>
  </si>
  <si>
    <t>MAGUILADLVEGA@GMAIL.COM</t>
  </si>
  <si>
    <t>ISMAEL VALDES VERGARA 552 DPTO 601</t>
  </si>
  <si>
    <t>19461049-1</t>
  </si>
  <si>
    <t>MATIAS MIGUEL AGUILA DE LA VEGA</t>
  </si>
  <si>
    <t>GRAMIREZ26@GMAIL.COM</t>
  </si>
  <si>
    <t>Lampa</t>
  </si>
  <si>
    <t>Chacabuco</t>
  </si>
  <si>
    <t>AVENIDA EL PARQUE 964 .</t>
  </si>
  <si>
    <t>14118231-5</t>
  </si>
  <si>
    <t>GASTON ANDRES RAMIREZ CARCAMO</t>
  </si>
  <si>
    <t>MGONZALEZD88@GMAIL.COM</t>
  </si>
  <si>
    <t>La Florida</t>
  </si>
  <si>
    <t>VICUÑA MACKENNA ORIENTE</t>
  </si>
  <si>
    <t>16804749-5</t>
  </si>
  <si>
    <t>MANUEL ALEJANDRO GONZALEZ DIAZ</t>
  </si>
  <si>
    <t>A1 Sportback Sport</t>
  </si>
  <si>
    <t>MARCELO_OLIVARES@ME.COM</t>
  </si>
  <si>
    <t>MAR JONICO 7511 DEPTO 202</t>
  </si>
  <si>
    <t>16010672-7</t>
  </si>
  <si>
    <t>MARCELO ANTONIO OLIVARES VILLARROEL</t>
  </si>
  <si>
    <t>DAVIDREYES2209@ICLOUD.COM</t>
  </si>
  <si>
    <t>OSA MAYOR 0574</t>
  </si>
  <si>
    <t>20328101-3</t>
  </si>
  <si>
    <t>SERGIO DAVID REYES OVERSLUIJ</t>
  </si>
  <si>
    <t>Nivus Highline</t>
  </si>
  <si>
    <t>JULIO.DIAZ.SALINA@GMAIL.COM</t>
  </si>
  <si>
    <t>AV GENERAL SAN MARTIN 305 CASA 67</t>
  </si>
  <si>
    <t>14060332-5</t>
  </si>
  <si>
    <t>JULIO CESAR DIAZ SALINA</t>
  </si>
  <si>
    <t>Gol Power</t>
  </si>
  <si>
    <t>NELSON.RZN@GMAIL.COM</t>
  </si>
  <si>
    <t>Temuco</t>
  </si>
  <si>
    <t>Cautín</t>
  </si>
  <si>
    <t>La Araucanía</t>
  </si>
  <si>
    <t>LOS FILÓSOFOS 0251 LOS COIHUES III BLOCK B 502</t>
  </si>
  <si>
    <t>16551463-7</t>
  </si>
  <si>
    <t>NELSON JOSE RIFO ZARATE</t>
  </si>
  <si>
    <t>MIGUEL.CACERESCONSTRUCCIONES@HOTMAIL.COM</t>
  </si>
  <si>
    <t>Peñaflor</t>
  </si>
  <si>
    <t>Talagante  </t>
  </si>
  <si>
    <t>LOS NOGALES 533</t>
  </si>
  <si>
    <t>17371818-7</t>
  </si>
  <si>
    <t>ELIANA DEL CARMEN MARTÍNEZ MARTÍNEZ</t>
  </si>
  <si>
    <t>Nivus Outfit</t>
  </si>
  <si>
    <t>PAOLA.VENEGASNEF@GMAIL.COM</t>
  </si>
  <si>
    <t>AVDA LOS PABLOS</t>
  </si>
  <si>
    <t>17460648-K</t>
  </si>
  <si>
    <t>PAOLA ISABEL VENEGAS NEF</t>
  </si>
  <si>
    <t>Tera Comfort</t>
  </si>
  <si>
    <t>MANDRES.C8@GMAIL.COM</t>
  </si>
  <si>
    <t>LOS DELFINES</t>
  </si>
  <si>
    <t>18927946-9</t>
  </si>
  <si>
    <t>MARTÍN ANDRÉS CÁCERES ÁBALOS</t>
  </si>
  <si>
    <t>MACMIZA.EIRL@GMAIL.COM</t>
  </si>
  <si>
    <t>ALMIRANTE LA TORRE 0344 0344</t>
  </si>
  <si>
    <t>12894218-1</t>
  </si>
  <si>
    <t>MARCELO CRISTIAN MIRANDA ZAMORANO</t>
  </si>
  <si>
    <t>SALGADO@GMAIL.COM</t>
  </si>
  <si>
    <t>San José de Maipo</t>
  </si>
  <si>
    <t>CAMINO AL VOLCAN</t>
  </si>
  <si>
    <t>9364975-3</t>
  </si>
  <si>
    <t>JUAN MAURICIO SALGADO ROJAS</t>
  </si>
  <si>
    <t>AUTOMOTRIZ DANIEL ACHONDO Y CIA. LTDA - BILBAO 5759</t>
  </si>
  <si>
    <t>JHGARCIAMATURANA@GMAIL.COM</t>
  </si>
  <si>
    <t>Los Vilos</t>
  </si>
  <si>
    <t>Choapa</t>
  </si>
  <si>
    <t>Coquimbo</t>
  </si>
  <si>
    <t>CAMINO LOS MAQUIS</t>
  </si>
  <si>
    <t>12946998-6</t>
  </si>
  <si>
    <t>JOSÉ HOMERO GARCÍA MATURANA</t>
  </si>
  <si>
    <t>Ateca Style</t>
  </si>
  <si>
    <t>EDUARDO.OPAZO@MARUBENI.CL</t>
  </si>
  <si>
    <t>Macul</t>
  </si>
  <si>
    <t>MADRESELVAS 4519 1001</t>
  </si>
  <si>
    <t>17681767-4</t>
  </si>
  <si>
    <t>EDUARDO JAVIER OPAZO GARIN</t>
  </si>
  <si>
    <t>Gol HB Trendline</t>
  </si>
  <si>
    <t>ROSIBERRIOS@HOTMAIL.COM</t>
  </si>
  <si>
    <t>Viña del Mar</t>
  </si>
  <si>
    <t>Valparaíso  </t>
  </si>
  <si>
    <t>Valparaíso</t>
  </si>
  <si>
    <t>VICUÑA MACKENNA 640</t>
  </si>
  <si>
    <t>7978615-2</t>
  </si>
  <si>
    <t>LUIS RODRIGO FARIAS BARRERA</t>
  </si>
  <si>
    <t>PATRICIACANCINO14@GMAIL.COM</t>
  </si>
  <si>
    <t>ATAHUALPA 235 DPTO. 402</t>
  </si>
  <si>
    <t>10614054-5</t>
  </si>
  <si>
    <t>PATRICIA ANDREA CANCINO MORENO</t>
  </si>
  <si>
    <t>G.VALDES@HOTMAIL.COM</t>
  </si>
  <si>
    <t>AVENIDA ESPAÑA</t>
  </si>
  <si>
    <t>12639685-6</t>
  </si>
  <si>
    <t>GONZALO ALBERTO VALDÉS CORNEJO</t>
  </si>
  <si>
    <t>CAMILO.SEPULVEDA03@GMAIL.COM</t>
  </si>
  <si>
    <t>PSJE. SAN CARLOS 242</t>
  </si>
  <si>
    <t>17417007-K</t>
  </si>
  <si>
    <t>CAMILO HERNÁN SEPÚLVEDA RIQUELME</t>
  </si>
  <si>
    <t>NATI_ECHEVERRIA@YAHOO.COM</t>
  </si>
  <si>
    <t>AVENIDA LA MONTAÑA 4149</t>
  </si>
  <si>
    <t>17103714-K</t>
  </si>
  <si>
    <t>NATALIE GABRIELA DEL ROCÍO ECHEVERRÍA ARCE</t>
  </si>
  <si>
    <t>MARCOSVERGARA0@GMAIL.COM</t>
  </si>
  <si>
    <t>Cerro Navia</t>
  </si>
  <si>
    <t>CARLOSBACK 1621</t>
  </si>
  <si>
    <t>16116668-5</t>
  </si>
  <si>
    <t>MARCOS ELÍAS  VERGARA URBINA</t>
  </si>
  <si>
    <t>KTYU2007@HOTMAIL.COM</t>
  </si>
  <si>
    <t>Buin</t>
  </si>
  <si>
    <t>Maipo</t>
  </si>
  <si>
    <t>FRANCISCA ASCENCIO B</t>
  </si>
  <si>
    <t>7316823-6</t>
  </si>
  <si>
    <t>MANUEL ARMANDO URIBE MALDONADO</t>
  </si>
  <si>
    <t>FRANSEGUEL@YAHOO.COM</t>
  </si>
  <si>
    <t>SAN GINES 1096</t>
  </si>
  <si>
    <t>8483122-0</t>
  </si>
  <si>
    <t>FRANCISCO MIGUEL CACERES SEGUEL</t>
  </si>
  <si>
    <t>KARLAVIVANCOC@GMAIL.COM</t>
  </si>
  <si>
    <t>SALAR GRANDE 125 DPTO. 4</t>
  </si>
  <si>
    <t>12840487-2</t>
  </si>
  <si>
    <t>KARLA PAULINA VIVANCO CUEVAS</t>
  </si>
  <si>
    <t>VRLOPEZ@UC.CL</t>
  </si>
  <si>
    <t>BURGOS 155 158</t>
  </si>
  <si>
    <t>17958041-1</t>
  </si>
  <si>
    <t>VICENTE ANDRES LOPEZ DAVIDSON</t>
  </si>
  <si>
    <t>DR.JSTUARDO@GMAIL.COM</t>
  </si>
  <si>
    <t>CAPILLA PALACIOS S/N</t>
  </si>
  <si>
    <t>18432008-8</t>
  </si>
  <si>
    <t>JOAQUIN ANDRES RENATO STUARDO ORELLANA</t>
  </si>
  <si>
    <t>ULMEN.JRIVERA@HOTMAIL.COM</t>
  </si>
  <si>
    <t>Melipilla</t>
  </si>
  <si>
    <t>RUTA G-60 KM 23 S/N S/N</t>
  </si>
  <si>
    <t>10208958-8</t>
  </si>
  <si>
    <t>SYLVIA MARIA HERRERA ARAYA</t>
  </si>
  <si>
    <t>JACOB HELO - MALL PLAZA EGAÑA</t>
  </si>
  <si>
    <t>LORELEYTON@GMAIL.COM</t>
  </si>
  <si>
    <t>VICTOR RAE 4580 DPTO. 602</t>
  </si>
  <si>
    <t>9902281-7</t>
  </si>
  <si>
    <t>LORENA ANDREA LEYTON ROJAS</t>
  </si>
  <si>
    <t>Polo Comfortline</t>
  </si>
  <si>
    <t>SPARADAIBANEZ@GMAIL.COM</t>
  </si>
  <si>
    <t>ESTER RIQUELME 348 ALEJANDRO</t>
  </si>
  <si>
    <t>9476872-1</t>
  </si>
  <si>
    <t>SAMUEL DANIEL PARADA IBAÑEZ</t>
  </si>
  <si>
    <t>PALVAREZNU@GMAIL.COM</t>
  </si>
  <si>
    <t>SAN MARCOS PONIENTE 2737</t>
  </si>
  <si>
    <t>18669899-1</t>
  </si>
  <si>
    <t>PEDRO IGNACIO ALVAREZ NUÑEZ</t>
  </si>
  <si>
    <t>KLASSIK CAR S.A - AUDI</t>
  </si>
  <si>
    <t>Q2 Q2</t>
  </si>
  <si>
    <t>DANIELALOYOLA@GMAIL.COM</t>
  </si>
  <si>
    <t>Lo Barnechea</t>
  </si>
  <si>
    <t>TEMPORAL 14069</t>
  </si>
  <si>
    <t>15565327-2</t>
  </si>
  <si>
    <t>DANIELA  TIARE LOYOLA LAREE</t>
  </si>
  <si>
    <t>LETOPLC_123_7@HOTMAIL.COM</t>
  </si>
  <si>
    <t>Padre Las Casas</t>
  </si>
  <si>
    <t>PARQUE TORRES DEL PAINE</t>
  </si>
  <si>
    <t>14578323-2</t>
  </si>
  <si>
    <t>AGUSTINA LORETO LOCARE PONCE</t>
  </si>
  <si>
    <t>PORSCHE INTER AUTO CHILE SPA - AUDI ZENTRUM</t>
  </si>
  <si>
    <t>Q3 Sport</t>
  </si>
  <si>
    <t>FBRANDI.ASGER@GMAIL.COM</t>
  </si>
  <si>
    <t>CAMINO DEL ALARIFE 1036</t>
  </si>
  <si>
    <t>7190854-2</t>
  </si>
  <si>
    <t>FERNANDO ARTURO BRANDI VARAS</t>
  </si>
  <si>
    <t>Ibiza Style</t>
  </si>
  <si>
    <t>GUSTAVO@QUITEL.CL</t>
  </si>
  <si>
    <t>AHUMANDA 312 OF 715</t>
  </si>
  <si>
    <t>76377775-8</t>
  </si>
  <si>
    <t>F.I.J.O. INVERSIONES SPA</t>
  </si>
  <si>
    <t>MEDITERRANEO AUTOMOTORES S.A. - CIRCULO PLAZA EGAÑA</t>
  </si>
  <si>
    <t>H.FANTINI.MORALES@GMAIL.COM</t>
  </si>
  <si>
    <t>Pirque</t>
  </si>
  <si>
    <t>BRISAS DEL RACO PARCELA 29A</t>
  </si>
  <si>
    <t>76587034-8</t>
  </si>
  <si>
    <t>HECTOR FANTINI MORALES TRANSPORTES E.I.R.L.</t>
  </si>
  <si>
    <t>NTA.PEREZM@GMAIL.COM</t>
  </si>
  <si>
    <t>CHACABUCO 9785</t>
  </si>
  <si>
    <t>17516733-1</t>
  </si>
  <si>
    <t>NICOL VALENTINA PEREZ MALDONADO</t>
  </si>
  <si>
    <t>JACOB HELO - MALL PLAZA ALAMEDA</t>
  </si>
  <si>
    <t>ALBIGUERRA.87@GMAIL.COM</t>
  </si>
  <si>
    <t>ROSAS 3286 DEPTO 1404</t>
  </si>
  <si>
    <t>26788558-3</t>
  </si>
  <si>
    <t>ALBI FROY GUERRA AVILA</t>
  </si>
  <si>
    <t>Voyage Trendline</t>
  </si>
  <si>
    <t>JANDRESQYF@GMAIL.COM</t>
  </si>
  <si>
    <t>CERRO EL PLOMO 3918</t>
  </si>
  <si>
    <t>17671052-7</t>
  </si>
  <si>
    <t>JONATHAN ANDRÉS VÁSQUEZ LÓPEZ</t>
  </si>
  <si>
    <t xml:space="preserve">Asignacion Mes </t>
  </si>
  <si>
    <t>DealerName</t>
  </si>
  <si>
    <t>Modelo Vehículo</t>
  </si>
  <si>
    <t>Marca Vehículo</t>
  </si>
  <si>
    <t>E-mail</t>
  </si>
  <si>
    <t>Comuna</t>
  </si>
  <si>
    <t>Ciudad</t>
  </si>
  <si>
    <t>Región cliente</t>
  </si>
  <si>
    <t>Dirección cliente</t>
  </si>
  <si>
    <t>Fono cliente</t>
  </si>
  <si>
    <t>Monto Financiado</t>
  </si>
  <si>
    <t>Barwert</t>
  </si>
  <si>
    <t>Unmatured</t>
  </si>
  <si>
    <t>Monto Adeudado</t>
  </si>
  <si>
    <t>Valor Cuota</t>
  </si>
  <si>
    <t>Gastos Cobranza</t>
  </si>
  <si>
    <t>Intereses Mora</t>
  </si>
  <si>
    <t>Días en mora</t>
  </si>
  <si>
    <t>Cuotas en mora</t>
  </si>
  <si>
    <t>Tramo de mora</t>
  </si>
  <si>
    <t>Fecha último pago</t>
  </si>
  <si>
    <t>Cuotas Totales</t>
  </si>
  <si>
    <t>Cuotas Pagadas</t>
  </si>
  <si>
    <t>Forma de Pago</t>
  </si>
  <si>
    <t>Fecha de activación</t>
  </si>
  <si>
    <t>Fecha Reporte</t>
  </si>
  <si>
    <t>Tipo de Producto</t>
  </si>
  <si>
    <t>N° Identificador Servipag</t>
  </si>
  <si>
    <t>Rut Cliente</t>
  </si>
  <si>
    <t>Edad</t>
  </si>
  <si>
    <t>Género</t>
  </si>
  <si>
    <t>Nombre Cliente</t>
  </si>
  <si>
    <t>Estado contrato</t>
  </si>
  <si>
    <t>N° Contrato</t>
  </si>
  <si>
    <t>Detalles para Cuenta de N° Contrato - Asignacion Mes : Phoenix, Amortizacion: 0 (+)</t>
  </si>
  <si>
    <t>Etiquetas de fila</t>
  </si>
  <si>
    <t>Total general</t>
  </si>
  <si>
    <t>Cuenta de N° Contrato</t>
  </si>
  <si>
    <t>Suma de Monto Adeudado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</si>
</sst>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42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</cellXfs>
  <cellStyles count="2">
    <cellStyle name="Moneda [0]" xfId="1" builtinId="7"/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 Frank (PFGCL - CL/Santiago)" refreshedDate="46118.747053009261" createdVersion="8" refreshedVersion="8" minRefreshableVersion="3" recordCount="66" xr:uid="{065BBBEC-2AF4-41EA-9EFF-F81CB4D36C32}">
  <cacheSource type="worksheet">
    <worksheetSource name="Tabla2"/>
  </cacheSource>
  <cacheFields count="34">
    <cacheField name="N° Contrato" numFmtId="0">
      <sharedItems containsSemiMixedTypes="0" containsString="0" containsNumber="1" containsInteger="1" minValue="1628" maxValue="37384" count="66">
        <n v="3613"/>
        <n v="5240"/>
        <n v="7096"/>
        <n v="8934"/>
        <n v="9134"/>
        <n v="10209"/>
        <n v="11348"/>
        <n v="12846"/>
        <n v="13556"/>
        <n v="13860"/>
        <n v="14243"/>
        <n v="14762"/>
        <n v="14970"/>
        <n v="15877"/>
        <n v="16473"/>
        <n v="16727"/>
        <n v="18072"/>
        <n v="18311"/>
        <n v="20229"/>
        <n v="21255"/>
        <n v="22736"/>
        <n v="23270"/>
        <n v="24701"/>
        <n v="25781"/>
        <n v="26372"/>
        <n v="28087"/>
        <n v="30925"/>
        <n v="32534"/>
        <n v="33990"/>
        <n v="36074"/>
        <n v="37384"/>
        <n v="3500"/>
        <n v="7904"/>
        <n v="9386"/>
        <n v="10288"/>
        <n v="12173"/>
        <n v="13784"/>
        <n v="14209"/>
        <n v="15531"/>
        <n v="16410"/>
        <n v="17658"/>
        <n v="19640"/>
        <n v="20521"/>
        <n v="20987"/>
        <n v="21488"/>
        <n v="23142"/>
        <n v="24000"/>
        <n v="25278"/>
        <n v="26899"/>
        <n v="28145"/>
        <n v="29037"/>
        <n v="32689"/>
        <n v="36241"/>
        <n v="7337"/>
        <n v="10386"/>
        <n v="13748"/>
        <n v="15799"/>
        <n v="18341"/>
        <n v="32456"/>
        <n v="28719"/>
        <n v="27000"/>
        <n v="11253"/>
        <n v="9155"/>
        <n v="6571"/>
        <n v="4742"/>
        <n v="1628"/>
      </sharedItems>
    </cacheField>
    <cacheField name="Estado contrato" numFmtId="0">
      <sharedItems/>
    </cacheField>
    <cacheField name="Nombre Cliente" numFmtId="0">
      <sharedItems/>
    </cacheField>
    <cacheField name="Género" numFmtId="0">
      <sharedItems/>
    </cacheField>
    <cacheField name="Edad" numFmtId="0">
      <sharedItems containsString="0" containsBlank="1" containsNumber="1" containsInteger="1" minValue="24" maxValue="70"/>
    </cacheField>
    <cacheField name="Rut Cliente" numFmtId="0">
      <sharedItems/>
    </cacheField>
    <cacheField name="N° Identificador Servipag" numFmtId="0">
      <sharedItems containsSemiMixedTypes="0" containsString="0" containsNumber="1" containsInteger="1" minValue="1000016285" maxValue="1000373843"/>
    </cacheField>
    <cacheField name="Tipo de Producto" numFmtId="0">
      <sharedItems/>
    </cacheField>
    <cacheField name="Fecha Reporte" numFmtId="14">
      <sharedItems containsSemiMixedTypes="0" containsNonDate="0" containsDate="1" containsString="0" minDate="2026-04-06T00:00:00" maxDate="2026-04-07T00:00:00"/>
    </cacheField>
    <cacheField name="Fecha de activación" numFmtId="14">
      <sharedItems containsSemiMixedTypes="0" containsNonDate="0" containsDate="1" containsString="0" minDate="2021-09-30T00:00:00" maxDate="2026-01-24T00:00:00"/>
    </cacheField>
    <cacheField name="Forma de Pago" numFmtId="0">
      <sharedItems/>
    </cacheField>
    <cacheField name="Cuotas Pagadas" numFmtId="0">
      <sharedItems containsSemiMixedTypes="0" containsString="0" containsNumber="1" containsInteger="1" minValue="0" maxValue="46"/>
    </cacheField>
    <cacheField name="Cuotas Totales" numFmtId="0">
      <sharedItems containsSemiMixedTypes="0" containsString="0" containsNumber="1" containsInteger="1" minValue="18" maxValue="72"/>
    </cacheField>
    <cacheField name="Fecha último pago" numFmtId="0">
      <sharedItems containsNonDate="0" containsDate="1" containsString="0" containsBlank="1" minDate="2025-09-08T00:00:00" maxDate="2026-04-02T00:00:00"/>
    </cacheField>
    <cacheField name="Tramo de mora" numFmtId="0">
      <sharedItems count="6">
        <s v="31-60"/>
        <s v="61-90"/>
        <s v="91-120"/>
        <s v="121-150"/>
        <s v="151-180"/>
        <s v="211-240"/>
      </sharedItems>
    </cacheField>
    <cacheField name="Cuotas en mora" numFmtId="0">
      <sharedItems containsSemiMixedTypes="0" containsString="0" containsNumber="1" containsInteger="1" minValue="1" maxValue="6"/>
    </cacheField>
    <cacheField name="Días en mora" numFmtId="0">
      <sharedItems containsSemiMixedTypes="0" containsString="0" containsNumber="1" containsInteger="1" minValue="37" maxValue="218"/>
    </cacheField>
    <cacheField name="Intereses Mora" numFmtId="0">
      <sharedItems containsSemiMixedTypes="0" containsString="0" containsNumber="1" containsInteger="1" minValue="2879" maxValue="424709"/>
    </cacheField>
    <cacheField name="Gastos Cobranza" numFmtId="0">
      <sharedItems containsSemiMixedTypes="0" containsString="0" containsNumber="1" containsInteger="1" minValue="16170" maxValue="438569"/>
    </cacheField>
    <cacheField name="Valor Cuota" numFmtId="0">
      <sharedItems containsSemiMixedTypes="0" containsString="0" containsNumber="1" containsInteger="1" minValue="134115" maxValue="4196000"/>
    </cacheField>
    <cacheField name="Monto Adeudado" numFmtId="42">
      <sharedItems containsSemiMixedTypes="0" containsString="0" containsNumber="1" containsInteger="1" minValue="295980" maxValue="7001595"/>
    </cacheField>
    <cacheField name="Unmatured" numFmtId="0">
      <sharedItems containsSemiMixedTypes="0" containsString="0" containsNumber="1" containsInteger="1" minValue="0" maxValue="1263219"/>
    </cacheField>
    <cacheField name="Barwert" numFmtId="0">
      <sharedItems containsSemiMixedTypes="0" containsString="0" containsNumber="1" containsInteger="1" minValue="0" maxValue="18627291"/>
    </cacheField>
    <cacheField name="Monto Financiado" numFmtId="0">
      <sharedItems containsSemiMixedTypes="0" containsString="0" containsNumber="1" containsInteger="1" minValue="3529303" maxValue="33751430"/>
    </cacheField>
    <cacheField name="Fono cliente" numFmtId="0">
      <sharedItems containsSemiMixedTypes="0" containsString="0" containsNumber="1" containsInteger="1" minValue="974190633" maxValue="56999911449"/>
    </cacheField>
    <cacheField name="Dirección cliente" numFmtId="0">
      <sharedItems/>
    </cacheField>
    <cacheField name="Región cliente" numFmtId="0">
      <sharedItems/>
    </cacheField>
    <cacheField name="Ciudad" numFmtId="0">
      <sharedItems/>
    </cacheField>
    <cacheField name="Comuna" numFmtId="0">
      <sharedItems/>
    </cacheField>
    <cacheField name="E-mail" numFmtId="0">
      <sharedItems/>
    </cacheField>
    <cacheField name="Marca Vehículo" numFmtId="0">
      <sharedItems/>
    </cacheField>
    <cacheField name="Modelo Vehículo" numFmtId="0">
      <sharedItems/>
    </cacheField>
    <cacheField name="DealerName" numFmtId="0">
      <sharedItems/>
    </cacheField>
    <cacheField name="Asignacion Mes " numFmtId="0">
      <sharedItems count="1">
        <s v="Phoeni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s v=" OPSA    "/>
    <s v="JONATHAN ANDRÉS VÁSQUEZ LÓPEZ"/>
    <s v="Masculino"/>
    <n v="36"/>
    <s v="17671052-7"/>
    <n v="1000036138"/>
    <s v="Auto Credit"/>
    <d v="2026-04-06T00:00:00"/>
    <d v="2022-04-20T00:00:00"/>
    <s v="Portal de pagos únicos"/>
    <n v="45"/>
    <n v="48"/>
    <d v="2026-03-31T00:00:00"/>
    <x v="0"/>
    <n v="2"/>
    <n v="37"/>
    <n v="8662"/>
    <n v="21559"/>
    <n v="239544"/>
    <n v="509309"/>
    <n v="239545"/>
    <n v="0"/>
    <n v="7733233"/>
    <n v="56942017794"/>
    <s v="CERRO EL PLOMO 3918"/>
    <s v="Metropolitana Santiago"/>
    <s v="Cordillera"/>
    <s v="Puente Alto"/>
    <s v="JANDRESQYF@GMAIL.COM"/>
    <s v="VOLKSWAGEN"/>
    <s v="Voyage Trendline"/>
    <s v="PORSCHE INTER AUTO CHILE SPA - MOVICENTER"/>
    <x v="0"/>
  </r>
  <r>
    <x v="1"/>
    <s v=" OPSA    "/>
    <s v="ALBI FROY GUERRA AVILA"/>
    <s v="Masculino"/>
    <n v="39"/>
    <s v="26788558-3"/>
    <n v="1000052400"/>
    <s v="Auto Credit"/>
    <d v="2026-04-06T00:00:00"/>
    <d v="2022-07-29T00:00:00"/>
    <s v="Portal de pagos únicos"/>
    <n v="42"/>
    <n v="48"/>
    <d v="2026-02-27T00:00:00"/>
    <x v="0"/>
    <n v="2"/>
    <n v="37"/>
    <n v="9368"/>
    <n v="35142"/>
    <n v="195232"/>
    <n v="434974"/>
    <n v="195232"/>
    <n v="559618"/>
    <n v="6144625"/>
    <n v="56930687367"/>
    <s v="ROSAS 3286 DEPTO 1404"/>
    <s v="Metropolitana Santiago"/>
    <s v="Santiago  "/>
    <s v="Santiago"/>
    <s v="ALBIGUERRA.87@GMAIL.COM"/>
    <s v="VOLKSWAGEN"/>
    <s v="Voyage Power"/>
    <s v="JACOB HELO - MALL PLAZA ALAMEDA"/>
    <x v="0"/>
  </r>
  <r>
    <x v="2"/>
    <s v=" OPSA    "/>
    <s v="NICOL VALENTINA PEREZ MALDONADO"/>
    <s v="Femenino"/>
    <n v="36"/>
    <s v="17516733-1"/>
    <n v="1000070964"/>
    <s v="Auto Credit"/>
    <d v="2026-04-06T00:00:00"/>
    <d v="2022-11-30T00:00:00"/>
    <s v="Portal de pagos únicos"/>
    <n v="38"/>
    <n v="60"/>
    <d v="2026-03-23T00:00:00"/>
    <x v="0"/>
    <n v="2"/>
    <n v="37"/>
    <n v="8935"/>
    <n v="22242"/>
    <n v="247132"/>
    <n v="525441"/>
    <n v="247132"/>
    <n v="3865786"/>
    <n v="8741233"/>
    <n v="56984965331"/>
    <s v="CHACABUCO 9785"/>
    <s v="Metropolitana Santiago"/>
    <s v="Santiago  "/>
    <s v="La Florida"/>
    <s v="NTA.PEREZM@GMAIL.COM"/>
    <s v="VOLKSWAGEN"/>
    <s v="Gol HB Trendline"/>
    <s v="AUTOMOTRIZ CORDILLERA S.A. - SALAZAR PLAZA OESTE"/>
    <x v="0"/>
  </r>
  <r>
    <x v="3"/>
    <s v=" OPSA    "/>
    <s v="HECTOR FANTINI MORALES TRANSPORTES E.I.R.L."/>
    <s v="No definido"/>
    <m/>
    <s v="76587034-8"/>
    <n v="1000089347"/>
    <s v="Auto Credit"/>
    <d v="2026-04-06T00:00:00"/>
    <d v="2023-03-23T00:00:00"/>
    <s v="Portal de pagos únicos"/>
    <n v="34"/>
    <n v="48"/>
    <d v="2026-03-23T00:00:00"/>
    <x v="0"/>
    <n v="2"/>
    <n v="37"/>
    <n v="24069"/>
    <n v="51897"/>
    <n v="665749"/>
    <n v="1407464"/>
    <n v="665749"/>
    <n v="6606056"/>
    <n v="21675596"/>
    <n v="56992113114"/>
    <s v="BRISAS DEL RACO PARCELA 29A"/>
    <s v="Metropolitana Santiago"/>
    <s v="Cordillera"/>
    <s v="Pirque"/>
    <s v="H.FANTINI.MORALES@GMAIL.COM"/>
    <s v="VOLKSWAGEN"/>
    <s v="Amarok Comfortline"/>
    <s v="MEDITERRANEO AUTOMOTORES S.A. - CIRCULO PLAZA EGAÑA"/>
    <x v="0"/>
  </r>
  <r>
    <x v="4"/>
    <s v=" OPSA    "/>
    <s v="F.I.J.O. INVERSIONES SPA"/>
    <s v="No definido"/>
    <m/>
    <s v="76377775-8"/>
    <n v="1000091341"/>
    <s v="Auto Credit"/>
    <d v="2026-04-06T00:00:00"/>
    <d v="2023-04-05T00:00:00"/>
    <s v="Portal de pagos únicos"/>
    <n v="33"/>
    <n v="36"/>
    <d v="2026-02-16T00:00:00"/>
    <x v="0"/>
    <n v="2"/>
    <n v="37"/>
    <n v="9360"/>
    <n v="43804"/>
    <n v="530850"/>
    <n v="1114864"/>
    <n v="530833"/>
    <n v="0"/>
    <n v="14036972"/>
    <n v="56991593004"/>
    <s v="AHUMANDA 312 OF 715"/>
    <s v="Metropolitana Santiago"/>
    <s v="Santiago  "/>
    <s v="Santiago"/>
    <s v="GUSTAVO@QUITEL.CL"/>
    <s v="SEAT"/>
    <s v="Ibiza Style"/>
    <s v="JACOB HELO - BILBAO"/>
    <x v="0"/>
  </r>
  <r>
    <x v="5"/>
    <s v=" OPSA    "/>
    <s v="FERNANDO ARTURO BRANDI VARAS"/>
    <s v="Masculino"/>
    <n v="64"/>
    <s v="7190854-2"/>
    <n v="1000102092"/>
    <s v="Auto Credit"/>
    <d v="2026-04-06T00:00:00"/>
    <d v="2023-05-30T00:00:00"/>
    <s v="Portal de pagos únicos"/>
    <n v="32"/>
    <n v="36"/>
    <d v="2026-02-28T00:00:00"/>
    <x v="0"/>
    <n v="2"/>
    <n v="37"/>
    <n v="22908"/>
    <n v="126020"/>
    <n v="851157"/>
    <n v="1851242"/>
    <n v="851157"/>
    <n v="820597"/>
    <n v="22504172"/>
    <n v="56998245766"/>
    <s v="CAMINO DEL ALARIFE 1036"/>
    <s v="Metropolitana Santiago"/>
    <s v="Santiago  "/>
    <s v="Lo Barnechea"/>
    <s v="FBRANDI.ASGER@GMAIL.COM"/>
    <s v="AUDI"/>
    <s v="Q3 Sport"/>
    <s v="PORSCHE INTER AUTO CHILE SPA - AUDI ZENTRUM"/>
    <x v="0"/>
  </r>
  <r>
    <x v="6"/>
    <s v=" OPSA    "/>
    <s v="AGUSTINA LORETO LOCARE PONCE"/>
    <s v="Femenino"/>
    <n v="45"/>
    <s v="14578323-2"/>
    <n v="1000113485"/>
    <s v="Auto Credit"/>
    <d v="2026-04-06T00:00:00"/>
    <d v="2023-07-31T00:00:00"/>
    <s v="Portal de pagos únicos"/>
    <n v="30"/>
    <n v="48"/>
    <d v="2026-02-10T00:00:00"/>
    <x v="0"/>
    <n v="2"/>
    <n v="37"/>
    <n v="5970"/>
    <n v="30467"/>
    <n v="338521"/>
    <n v="713479"/>
    <n v="338521"/>
    <n v="4287578"/>
    <n v="10404664"/>
    <n v="56977806890"/>
    <s v="PARQUE TORRES DEL PAINE"/>
    <s v="La Araucanía"/>
    <s v="Cautín"/>
    <s v="Padre Las Casas"/>
    <s v="LETOPLC_123_7@HOTMAIL.COM"/>
    <s v="VOLKSWAGEN"/>
    <s v="T-Cross Comfortline"/>
    <s v="AUTOMOTRIZ CORDILLERA S.A. - SALAZAR ISRAEL TEMUCO"/>
    <x v="0"/>
  </r>
  <r>
    <x v="7"/>
    <s v=" OPSA    "/>
    <s v="DANIELA  TIARE LOYOLA LAREE"/>
    <s v="Femenino"/>
    <n v="43"/>
    <s v="15565327-2"/>
    <n v="1000128466"/>
    <s v="Auto Credit"/>
    <d v="2026-04-06T00:00:00"/>
    <d v="2023-08-31T00:00:00"/>
    <s v="Portal de pagos únicos"/>
    <n v="29"/>
    <n v="60"/>
    <d v="2026-02-24T00:00:00"/>
    <x v="0"/>
    <n v="2"/>
    <n v="37"/>
    <n v="13741"/>
    <n v="85148"/>
    <n v="510553"/>
    <n v="1119995"/>
    <n v="510553"/>
    <n v="10923961"/>
    <n v="18059280"/>
    <n v="56956351413"/>
    <s v="TEMPORAL 14069"/>
    <s v="Metropolitana Santiago"/>
    <s v="Santiago  "/>
    <s v="Lo Barnechea"/>
    <s v="DANIELALOYOLA@GMAIL.COM"/>
    <s v="AUDI"/>
    <s v="Q2 Q2"/>
    <s v="KLASSIK CAR S.A - AUDI"/>
    <x v="0"/>
  </r>
  <r>
    <x v="8"/>
    <s v=" OPSA    "/>
    <s v="PEDRO IGNACIO ALVAREZ NUÑEZ"/>
    <s v="Masculino"/>
    <n v="32"/>
    <s v="18669899-1"/>
    <n v="1000135560"/>
    <s v="Smart Credit"/>
    <d v="2026-04-06T00:00:00"/>
    <d v="2023-09-28T00:00:00"/>
    <s v="Portal de pagos únicos"/>
    <n v="28"/>
    <n v="49"/>
    <d v="2026-03-23T00:00:00"/>
    <x v="0"/>
    <n v="2"/>
    <n v="37"/>
    <n v="14554"/>
    <n v="22530"/>
    <n v="250337"/>
    <n v="537758"/>
    <n v="250337"/>
    <n v="7643685"/>
    <n v="10046184"/>
    <n v="56933969018"/>
    <s v="SAN MARCOS PONIENTE 2737"/>
    <s v="Metropolitana Santiago"/>
    <s v="Chacabuco"/>
    <s v="Lampa"/>
    <s v="PALVAREZNU@GMAIL.COM"/>
    <s v="VOLKSWAGEN"/>
    <s v="Taos Comfortline"/>
    <s v="PORSCHE INTER AUTO CHILE SPA - MOVICENTER"/>
    <x v="0"/>
  </r>
  <r>
    <x v="9"/>
    <s v=" OPSA    "/>
    <s v="SAMUEL DANIEL PARADA IBAÑEZ"/>
    <s v="Masculino"/>
    <n v="64"/>
    <s v="9476872-1"/>
    <n v="1000138607"/>
    <s v="Auto Credit"/>
    <d v="2026-04-06T00:00:00"/>
    <d v="2023-10-19T00:00:00"/>
    <s v="Portal de pagos únicos"/>
    <n v="27"/>
    <n v="36"/>
    <d v="2026-02-24T00:00:00"/>
    <x v="0"/>
    <n v="2"/>
    <n v="37"/>
    <n v="4722"/>
    <n v="30002"/>
    <n v="333350"/>
    <n v="701424"/>
    <n v="333350"/>
    <n v="1784959"/>
    <n v="8231784"/>
    <n v="56997888524"/>
    <s v="ESTER RIQUELME 348 ALEJANDRO"/>
    <s v="Del Libertador B. O'Higgins"/>
    <s v="Cachapoal"/>
    <s v="Machalí"/>
    <s v="SPARADAIBANEZ@GMAIL.COM"/>
    <s v="VOLKSWAGEN"/>
    <s v="Polo Comfortline"/>
    <s v="JACOB HELO - BILBAO"/>
    <x v="0"/>
  </r>
  <r>
    <x v="10"/>
    <s v=" OPSA    "/>
    <s v="LORENA ANDREA LEYTON ROJAS"/>
    <s v="Femenino"/>
    <n v="57"/>
    <s v="9902281-7"/>
    <n v="1000142434"/>
    <s v="Auto Credit"/>
    <d v="2026-04-06T00:00:00"/>
    <d v="2023-11-06T00:00:00"/>
    <s v="Portal de pagos únicos"/>
    <n v="26"/>
    <n v="60"/>
    <d v="2026-03-30T00:00:00"/>
    <x v="0"/>
    <n v="2"/>
    <n v="37"/>
    <n v="9959"/>
    <n v="24791"/>
    <n v="275460"/>
    <n v="585670"/>
    <n v="275460"/>
    <n v="6193686"/>
    <n v="9480509"/>
    <n v="56962375086"/>
    <s v="VICTOR RAE 4580 DPTO. 602"/>
    <s v="Metropolitana Santiago"/>
    <s v="Santiago  "/>
    <s v="Las Condes"/>
    <s v="LORELEYTON@GMAIL.COM"/>
    <s v="VOLKSWAGEN"/>
    <s v="Nuevo T-Cross Trendline"/>
    <s v="JACOB HELO - MALL PLAZA EGAÑA"/>
    <x v="0"/>
  </r>
  <r>
    <x v="11"/>
    <s v=" OPSA    "/>
    <s v="SYLVIA MARIA HERRERA ARAYA"/>
    <s v="Femenino"/>
    <n v="63"/>
    <s v="10208958-8"/>
    <n v="1000147622"/>
    <s v="Auto Credit"/>
    <d v="2026-04-06T00:00:00"/>
    <d v="2023-11-24T00:00:00"/>
    <s v="Portal de pagos únicos"/>
    <n v="26"/>
    <n v="59"/>
    <d v="2026-03-31T00:00:00"/>
    <x v="0"/>
    <n v="2"/>
    <n v="37"/>
    <n v="18425"/>
    <n v="28523"/>
    <n v="316920"/>
    <n v="680788"/>
    <n v="316920"/>
    <n v="7069532"/>
    <n v="11069823"/>
    <n v="56995797901"/>
    <s v="RUTA G-60 KM 23 S/N S/N"/>
    <s v="Metropolitana Santiago"/>
    <s v="Melipilla"/>
    <s v="Melipilla"/>
    <s v="ULMEN.JRIVERA@HOTMAIL.COM"/>
    <s v="VOLKSWAGEN"/>
    <s v="Nuevo Polo Highline"/>
    <s v="PORSCHE VOLKSWAGEN SERVICIOS FINANCIEROS SPA"/>
    <x v="0"/>
  </r>
  <r>
    <x v="12"/>
    <s v=" OPSA    "/>
    <s v="JOAQUIN ANDRES RENATO STUARDO ORELLANA"/>
    <s v="Masculino"/>
    <n v="33"/>
    <s v="18432008-8"/>
    <n v="1000149706"/>
    <s v="Smart Credit"/>
    <d v="2026-04-06T00:00:00"/>
    <d v="2023-11-30T00:00:00"/>
    <s v="PAC Online"/>
    <n v="26"/>
    <n v="37"/>
    <d v="2026-02-12T00:00:00"/>
    <x v="0"/>
    <n v="2"/>
    <n v="37"/>
    <n v="6217"/>
    <n v="31730"/>
    <n v="352556"/>
    <n v="743059"/>
    <n v="352556"/>
    <n v="7375868"/>
    <n v="12111389"/>
    <n v="56938851953"/>
    <s v="CAPILLA PALACIOS S/N"/>
    <s v="Del Maule"/>
    <s v="Linares  "/>
    <s v="Linares"/>
    <s v="DR.JSTUARDO@GMAIL.COM"/>
    <s v="VOLKSWAGEN"/>
    <s v="Saveiro Power"/>
    <s v="AUTOMOTRIZ CORDILLERA S.A. - PRAT CONCEPCIÓN"/>
    <x v="0"/>
  </r>
  <r>
    <x v="13"/>
    <s v=" OPSA    "/>
    <s v="VICENTE ANDRES LOPEZ DAVIDSON"/>
    <s v="Masculino"/>
    <n v="35"/>
    <s v="17958041-1"/>
    <n v="1000158772"/>
    <s v="Smart Credit"/>
    <d v="2026-04-06T00:00:00"/>
    <d v="2024-01-17T00:00:00"/>
    <s v="Portal de pagos únicos"/>
    <n v="24"/>
    <n v="37"/>
    <d v="2026-01-06T00:00:00"/>
    <x v="0"/>
    <n v="2"/>
    <n v="37"/>
    <n v="6965"/>
    <n v="41457"/>
    <n v="491737"/>
    <n v="1031896"/>
    <n v="491737"/>
    <n v="11922940"/>
    <n v="17794450"/>
    <n v="56991629926"/>
    <s v="BURGOS 155 158"/>
    <s v="Metropolitana Santiago"/>
    <s v="Santiago  "/>
    <s v="Las Condes"/>
    <s v="VRLOPEZ@UC.CL"/>
    <s v="VOLKSWAGEN"/>
    <s v="Taos Highline"/>
    <s v="AUTOMOTRIZ DANIEL ACHONDO Y CIA. LTDA - BILBAO 5759"/>
    <x v="0"/>
  </r>
  <r>
    <x v="14"/>
    <s v=" OPSA    "/>
    <s v="KARLA PAULINA VIVANCO CUEVAS"/>
    <s v="Femenino"/>
    <n v="51"/>
    <s v="12840487-2"/>
    <n v="1000164730"/>
    <s v="Auto Credit"/>
    <d v="2026-04-06T00:00:00"/>
    <d v="2024-02-20T00:00:00"/>
    <s v="Portal de pagos únicos"/>
    <n v="23"/>
    <n v="48"/>
    <d v="2026-02-04T00:00:00"/>
    <x v="0"/>
    <n v="2"/>
    <n v="37"/>
    <n v="4442"/>
    <n v="28223"/>
    <n v="313588"/>
    <n v="659841"/>
    <n v="313588"/>
    <n v="5473610"/>
    <n v="9604450"/>
    <n v="56974069125"/>
    <s v="SALAR GRANDE 125 DPTO. 4"/>
    <s v="Antofagasta"/>
    <s v="Antofagasta"/>
    <s v="Antofagasta"/>
    <s v="KARLAVIVANCOC@GMAIL.COM"/>
    <s v="VOLKSWAGEN"/>
    <s v="T-Cross Comfortline"/>
    <s v="MARUBENI AUTO LTDA - MARUBENI ANTOFAGASTA"/>
    <x v="0"/>
  </r>
  <r>
    <x v="15"/>
    <s v=" OPSA    "/>
    <s v="FRANCISCO MIGUEL CACERES SEGUEL"/>
    <s v="Masculino"/>
    <n v="57"/>
    <s v="8483122-0"/>
    <n v="1000167275"/>
    <s v="Auto Credit"/>
    <d v="2026-04-06T00:00:00"/>
    <d v="2024-02-28T00:00:00"/>
    <s v="Portal de pagos únicos"/>
    <n v="23"/>
    <n v="57"/>
    <d v="2026-03-31T00:00:00"/>
    <x v="0"/>
    <n v="2"/>
    <n v="37"/>
    <n v="10445"/>
    <n v="16170"/>
    <n v="179664"/>
    <n v="385943"/>
    <n v="179664"/>
    <n v="3932829"/>
    <n v="5713753"/>
    <n v="56982665762"/>
    <s v="SAN GINES 1096"/>
    <s v="Metropolitana Santiago"/>
    <s v="Cordillera"/>
    <s v="Puente Alto"/>
    <s v="FRANSEGUEL@YAHOO.COM"/>
    <s v="VOLKSWAGEN"/>
    <s v="Voyage Power"/>
    <s v="PORSCHE VOLKSWAGEN SERVICIOS FINANCIEROS SPA"/>
    <x v="0"/>
  </r>
  <r>
    <x v="16"/>
    <s v=" OPSA    "/>
    <s v="MANUEL ARMANDO URIBE MALDONADO"/>
    <s v="Masculino"/>
    <n v="70"/>
    <s v="7316823-6"/>
    <n v="1000180727"/>
    <s v="Auto Credit"/>
    <d v="2026-04-06T00:00:00"/>
    <d v="2024-05-14T00:00:00"/>
    <s v="Portal de pagos únicos"/>
    <n v="20"/>
    <n v="36"/>
    <d v="2026-02-02T00:00:00"/>
    <x v="0"/>
    <n v="2"/>
    <n v="37"/>
    <n v="6375"/>
    <n v="38954"/>
    <n v="450030"/>
    <n v="942233"/>
    <n v="448452"/>
    <n v="4759979"/>
    <n v="10719811"/>
    <n v="56993114838"/>
    <s v="FRANCISCA ASCENCIO B"/>
    <s v="Metropolitana Santiago"/>
    <s v="Maipo"/>
    <s v="Buin"/>
    <s v="KTYU2007@HOTMAIL.COM"/>
    <s v="VOLKSWAGEN"/>
    <s v="T-Cross Comfortline"/>
    <s v="AUTOMOTRIZ CORDILLERA S.A. - SALAZAR PLAZA OESTE"/>
    <x v="0"/>
  </r>
  <r>
    <x v="17"/>
    <s v=" OPSA    "/>
    <s v="MARCOS ELÍAS  VERGARA URBINA"/>
    <s v="Masculino"/>
    <n v="41"/>
    <s v="16116668-5"/>
    <n v="1000183114"/>
    <s v="Auto Credit"/>
    <d v="2026-04-06T00:00:00"/>
    <d v="2024-05-23T00:00:00"/>
    <s v="Portal de pagos únicos"/>
    <n v="20"/>
    <n v="24"/>
    <d v="2026-02-24T00:00:00"/>
    <x v="0"/>
    <n v="2"/>
    <n v="37"/>
    <n v="12567"/>
    <n v="47142"/>
    <n v="261896"/>
    <n v="583501"/>
    <n v="261896"/>
    <n v="254858"/>
    <n v="4920424"/>
    <n v="56999691479"/>
    <s v="CARLOSBACK 1621"/>
    <s v="Metropolitana Santiago"/>
    <s v="Santiago  "/>
    <s v="Cerro Navia"/>
    <s v="MARCOSVERGARA0@GMAIL.COM"/>
    <s v="VOLKSWAGEN"/>
    <s v="Saveiro Power"/>
    <s v="PORSCHE VOLKSWAGEN SERVICIOS FINANCIEROS SPA"/>
    <x v="0"/>
  </r>
  <r>
    <x v="18"/>
    <s v=" OPSA    "/>
    <s v="NATALIE GABRIELA DEL ROCÍO ECHEVERRÍA ARCE"/>
    <s v="Femenino"/>
    <n v="37"/>
    <s v="17103714-K"/>
    <n v="1000202291"/>
    <s v="Auto Credit"/>
    <d v="2026-04-06T00:00:00"/>
    <d v="2024-08-28T00:00:00"/>
    <s v="Portal de pagos únicos"/>
    <n v="17"/>
    <n v="60"/>
    <d v="2026-03-17T00:00:00"/>
    <x v="0"/>
    <n v="2"/>
    <n v="37"/>
    <n v="11661"/>
    <n v="38968"/>
    <n v="450263"/>
    <n v="951155"/>
    <n v="450263"/>
    <n v="12232371"/>
    <n v="15554179"/>
    <n v="56973081672"/>
    <s v="AVENIDA LA MONTAÑA 4149"/>
    <s v="Metropolitana Santiago"/>
    <s v="Chacabuco"/>
    <s v="Lampa"/>
    <s v="NATI_ECHEVERRIA@YAHOO.COM"/>
    <s v="VOLKSWAGEN"/>
    <s v="Taos Comfortline"/>
    <s v="JACOB HELO - BILBAO"/>
    <x v="0"/>
  </r>
  <r>
    <x v="19"/>
    <s v=" OPSA    "/>
    <s v="CAMILO HERNÁN SEPÚLVEDA RIQUELME"/>
    <s v="Masculino"/>
    <n v="36"/>
    <s v="17417007-K"/>
    <n v="1000212556"/>
    <s v="Auto Credit"/>
    <d v="2026-04-06T00:00:00"/>
    <d v="2024-10-15T00:00:00"/>
    <s v="Portal de pagos únicos"/>
    <n v="15"/>
    <n v="58"/>
    <d v="2026-02-28T00:00:00"/>
    <x v="0"/>
    <n v="2"/>
    <n v="37"/>
    <n v="8097"/>
    <n v="54154"/>
    <n v="300851"/>
    <n v="663953"/>
    <n v="300851"/>
    <n v="8304624"/>
    <n v="10446868"/>
    <n v="56926264726"/>
    <s v="PSJE. SAN CARLOS 242"/>
    <s v="Metropolitana Santiago"/>
    <s v="Santiago  "/>
    <s v="Quilicura"/>
    <s v="CAMILO.SEPULVEDA03@GMAIL.COM"/>
    <s v="VOLKSWAGEN"/>
    <s v="Nuevo Polo Highline"/>
    <s v="PORSCHE VOLKSWAGEN SERVICIOS FINANCIEROS SPA"/>
    <x v="0"/>
  </r>
  <r>
    <x v="20"/>
    <s v=" OPSA    "/>
    <s v="GONZALO ALBERTO VALDÉS CORNEJO"/>
    <s v="Masculino"/>
    <n v="52"/>
    <s v="12639685-6"/>
    <n v="1000227367"/>
    <s v="Smart Credit"/>
    <d v="2026-04-06T00:00:00"/>
    <d v="2024-12-30T00:00:00"/>
    <s v="Portal de pagos únicos"/>
    <n v="13"/>
    <n v="37"/>
    <d v="2026-02-05T00:00:00"/>
    <x v="0"/>
    <n v="2"/>
    <n v="37"/>
    <n v="5945"/>
    <n v="30347"/>
    <n v="337193"/>
    <n v="707458"/>
    <n v="335583"/>
    <n v="8250752"/>
    <n v="10529865"/>
    <n v="56998985768"/>
    <s v="AVENIDA ESPAÑA"/>
    <s v="Metropolitana Santiago"/>
    <s v="Santiago  "/>
    <s v="Santiago"/>
    <s v="G.VALDES@HOTMAIL.COM"/>
    <s v="VOLKSWAGEN"/>
    <s v="Nivus Comfortline"/>
    <s v="PORSCHE INTER AUTO CHILE SPA - MOVICENTER"/>
    <x v="0"/>
  </r>
  <r>
    <x v="21"/>
    <s v=" OPSA    "/>
    <s v="PATRICIA ANDREA CANCINO MORENO"/>
    <s v="Femenino"/>
    <n v="52"/>
    <s v="10614054-5"/>
    <n v="1000232700"/>
    <s v="Auto Credit"/>
    <d v="2026-04-06T00:00:00"/>
    <d v="2025-01-30T00:00:00"/>
    <s v="Portal de pagos únicos"/>
    <n v="12"/>
    <n v="18"/>
    <d v="2026-01-30T00:00:00"/>
    <x v="0"/>
    <n v="2"/>
    <n v="37"/>
    <n v="3977"/>
    <n v="25271"/>
    <n v="280792"/>
    <n v="590832"/>
    <n v="280792"/>
    <n v="802650"/>
    <n v="4218705"/>
    <n v="56977673383"/>
    <s v="ATAHUALPA 235 DPTO. 402"/>
    <s v="Metropolitana Santiago"/>
    <s v="Santiago  "/>
    <s v="La Florida"/>
    <s v="PATRICIACANCINO14@GMAIL.COM"/>
    <s v="VOLKSWAGEN"/>
    <s v="Nivus Highline"/>
    <s v="AUTOMOTRIZ DANIEL ACHONDO Y CIA. LTDA - BILBAO 5759"/>
    <x v="0"/>
  </r>
  <r>
    <x v="22"/>
    <s v=" OPSA    "/>
    <s v="LUIS RODRIGO FARIAS BARRERA"/>
    <s v="Masculino"/>
    <n v="63"/>
    <s v="7978615-2"/>
    <n v="1000247015"/>
    <s v="Auto Credit"/>
    <d v="2026-04-06T00:00:00"/>
    <d v="2025-03-27T00:00:00"/>
    <s v="Portal de pagos únicos"/>
    <n v="10"/>
    <n v="37"/>
    <d v="2026-03-24T00:00:00"/>
    <x v="0"/>
    <n v="2"/>
    <n v="37"/>
    <n v="12835"/>
    <n v="19868"/>
    <n v="220751"/>
    <n v="474205"/>
    <n v="220751"/>
    <n v="4231453"/>
    <n v="6017544"/>
    <n v="56995996183"/>
    <s v="VICUÑA MACKENNA 640"/>
    <s v="Valparaíso"/>
    <s v="Valparaíso  "/>
    <s v="Viña del Mar"/>
    <s v="ROSIBERRIOS@HOTMAIL.COM"/>
    <s v="VOLKSWAGEN"/>
    <s v="Gol HB Trendline"/>
    <s v="PORSCHE VOLKSWAGEN SERVICIOS FINANCIEROS SPA"/>
    <x v="0"/>
  </r>
  <r>
    <x v="23"/>
    <s v=" OPSA    "/>
    <s v="EDUARDO JAVIER OPAZO GARIN"/>
    <s v="Masculino"/>
    <n v="35"/>
    <s v="17681767-4"/>
    <n v="1000257819"/>
    <s v="Auto Credit"/>
    <d v="2026-04-06T00:00:00"/>
    <d v="2025-05-23T00:00:00"/>
    <s v="Portal de pagos únicos"/>
    <n v="8"/>
    <n v="35"/>
    <d v="2026-03-30T00:00:00"/>
    <x v="0"/>
    <n v="2"/>
    <n v="37"/>
    <n v="9713"/>
    <n v="24175"/>
    <n v="268616"/>
    <n v="571120"/>
    <n v="268616"/>
    <n v="5266430"/>
    <n v="7089317"/>
    <n v="56953340806"/>
    <s v="MADRESELVAS 4519 1001"/>
    <s v="Metropolitana Santiago"/>
    <s v="Santiago  "/>
    <s v="Macul"/>
    <s v="EDUARDO.OPAZO@MARUBENI.CL"/>
    <s v="SEAT"/>
    <s v="Ateca Style"/>
    <s v="PORSCHE VOLKSWAGEN SERVICIOS FINANCIEROS SPA"/>
    <x v="0"/>
  </r>
  <r>
    <x v="24"/>
    <s v=" OPSA    "/>
    <s v="JOSÉ HOMERO GARCÍA MATURANA"/>
    <s v="Masculino"/>
    <n v="50"/>
    <s v="12946998-6"/>
    <n v="1000263720"/>
    <s v="Smart Credit"/>
    <d v="2026-04-06T00:00:00"/>
    <d v="2025-06-16T00:00:00"/>
    <s v="Portal de pagos únicos"/>
    <n v="7"/>
    <n v="49"/>
    <d v="2026-01-27T00:00:00"/>
    <x v="0"/>
    <n v="2"/>
    <n v="37"/>
    <n v="3902"/>
    <n v="24794"/>
    <n v="275492"/>
    <n v="577152"/>
    <n v="274228"/>
    <n v="9434331"/>
    <n v="10055870"/>
    <n v="56988560739"/>
    <s v="CAMINO LOS MAQUIS"/>
    <s v="Coquimbo"/>
    <s v="Choapa"/>
    <s v="Los Vilos"/>
    <s v="JHGARCIAMATURANA@GMAIL.COM"/>
    <s v="VOLKSWAGEN"/>
    <s v="Saveiro Power"/>
    <s v="AUTOMOTRIZ DANIEL ACHONDO Y CIA. LTDA - BILBAO 5759"/>
    <x v="0"/>
  </r>
  <r>
    <x v="25"/>
    <s v=" OPSA    "/>
    <s v="JUAN MAURICIO SALGADO ROJAS"/>
    <s v="Masculino"/>
    <n v="59"/>
    <s v="9364975-3"/>
    <n v="1000280870"/>
    <s v="Smart Credit"/>
    <d v="2026-04-06T00:00:00"/>
    <d v="2025-07-25T00:00:00"/>
    <s v="PAC Online"/>
    <n v="6"/>
    <n v="49"/>
    <d v="2026-03-27T00:00:00"/>
    <x v="0"/>
    <n v="2"/>
    <n v="37"/>
    <n v="14190"/>
    <n v="35320"/>
    <n v="392445"/>
    <n v="834400"/>
    <n v="392445"/>
    <n v="12912020"/>
    <n v="13904660"/>
    <n v="56995245785"/>
    <s v="CAMINO AL VOLCAN"/>
    <s v="Metropolitana Santiago"/>
    <s v="Cordillera"/>
    <s v="San José de Maipo"/>
    <s v="SALGADO@GMAIL.COM"/>
    <s v="VOLKSWAGEN"/>
    <s v="Polo Highline"/>
    <s v="PORSCHE INTER AUTO CHILE SPA - VW IRARRAZAVAL"/>
    <x v="0"/>
  </r>
  <r>
    <x v="26"/>
    <s v=" OPSA    "/>
    <s v="MARCELO CRISTIAN MIRANDA ZAMORANO"/>
    <s v="Masculino"/>
    <n v="52"/>
    <s v="12894218-1"/>
    <n v="1000309258"/>
    <s v="Smart Credit"/>
    <d v="2026-04-06T00:00:00"/>
    <d v="2025-09-30T00:00:00"/>
    <s v="PAC Online"/>
    <n v="4"/>
    <n v="49"/>
    <d v="2026-02-20T00:00:00"/>
    <x v="0"/>
    <n v="2"/>
    <n v="37"/>
    <n v="21504"/>
    <n v="28027"/>
    <n v="311416"/>
    <n v="665911"/>
    <n v="308190"/>
    <n v="10609873"/>
    <n v="11120386"/>
    <n v="56962060140"/>
    <s v="ALMIRANTE LA TORRE 0344 0344"/>
    <s v="Metropolitana Santiago"/>
    <s v="Cordillera"/>
    <s v="Puente Alto"/>
    <s v="MACMIZA.EIRL@GMAIL.COM"/>
    <s v="VOLKSWAGEN"/>
    <s v="Polo Highline"/>
    <s v="DIFOR PLAZA VESPUCIO"/>
    <x v="0"/>
  </r>
  <r>
    <x v="27"/>
    <s v=" OPSA    "/>
    <s v="MARTÍN ANDRÉS CÁCERES ÁBALOS"/>
    <s v="Masculino"/>
    <n v="32"/>
    <s v="18927946-9"/>
    <n v="1000325342"/>
    <s v="Auto Credit"/>
    <d v="2026-04-06T00:00:00"/>
    <d v="2025-10-24T00:00:00"/>
    <s v="PAC Online"/>
    <n v="3"/>
    <n v="48"/>
    <d v="2026-02-11T00:00:00"/>
    <x v="0"/>
    <n v="2"/>
    <n v="37"/>
    <n v="6710"/>
    <n v="34251"/>
    <n v="380563"/>
    <n v="795503"/>
    <n v="377271"/>
    <n v="10034588"/>
    <n v="10902644"/>
    <n v="56940918521"/>
    <s v="LOS DELFINES"/>
    <s v="Metropolitana Santiago"/>
    <s v="Santiago  "/>
    <s v="Maipú"/>
    <s v="MANDRES.C8@GMAIL.COM"/>
    <s v="VOLKSWAGEN"/>
    <s v="Tera Comfort"/>
    <s v="AUTOMOTRIZ CORDILLERA S.A. - SALAZAR PLAZA OESTE"/>
    <x v="0"/>
  </r>
  <r>
    <x v="28"/>
    <s v=" OPSA    "/>
    <s v="PAOLA ISABEL VENEGAS NEF"/>
    <s v="Femenino"/>
    <n v="36"/>
    <s v="17460648-K"/>
    <n v="1000339904"/>
    <s v="Auto Credit"/>
    <d v="2026-04-06T00:00:00"/>
    <d v="2025-11-07T00:00:00"/>
    <s v="PAC Online"/>
    <n v="2"/>
    <n v="36"/>
    <d v="2026-03-30T00:00:00"/>
    <x v="0"/>
    <n v="2"/>
    <n v="37"/>
    <n v="19381"/>
    <n v="44116"/>
    <n v="536066"/>
    <n v="1127205"/>
    <n v="531854"/>
    <n v="11644855"/>
    <n v="12959096"/>
    <n v="56999638218"/>
    <s v="AVDA LOS PABLOS"/>
    <s v="La Araucanía"/>
    <s v="Cautín"/>
    <s v="Temuco"/>
    <s v="PAOLA.VENEGASNEF@GMAIL.COM"/>
    <s v="VOLKSWAGEN"/>
    <s v="Nivus Outfit"/>
    <s v="AUTOMOTRIZ CORDILLERA S.A. - SALAZAR ISRAEL TEMUCO"/>
    <x v="0"/>
  </r>
  <r>
    <x v="29"/>
    <s v=" OPSA    "/>
    <s v="ELIANA DEL CARMEN MARTÍNEZ MARTÍNEZ"/>
    <s v="Femenino"/>
    <n v="37"/>
    <s v="17371818-7"/>
    <n v="1000360741"/>
    <s v="Auto Credit"/>
    <d v="2026-04-06T00:00:00"/>
    <d v="2025-12-23T00:00:00"/>
    <s v="PAC Online"/>
    <n v="1"/>
    <n v="35"/>
    <d v="2026-02-23T00:00:00"/>
    <x v="0"/>
    <n v="2"/>
    <n v="37"/>
    <n v="3610"/>
    <n v="24140"/>
    <n v="134115"/>
    <n v="295980"/>
    <n v="134115"/>
    <n v="3218812"/>
    <n v="3529303"/>
    <n v="56983226888"/>
    <s v="LOS NOGALES 533"/>
    <s v="Metropolitana Santiago"/>
    <s v="Talagante  "/>
    <s v="Peñaflor"/>
    <s v="MIGUEL.CACERESCONSTRUCCIONES@HOTMAIL.COM"/>
    <s v="VOLKSWAGEN"/>
    <s v="Gol Power"/>
    <s v="PORSCHE VOLKSWAGEN SERVICIOS FINANCIEROS SPA"/>
    <x v="0"/>
  </r>
  <r>
    <x v="30"/>
    <s v=" OPSA    "/>
    <s v="NELSON JOSE RIFO ZARATE"/>
    <s v="Masculino"/>
    <n v="40"/>
    <s v="16551463-7"/>
    <n v="1000373843"/>
    <s v="Auto Credit"/>
    <d v="2026-04-06T00:00:00"/>
    <d v="2026-01-23T00:00:00"/>
    <s v="PAC Online"/>
    <n v="0"/>
    <n v="35"/>
    <m/>
    <x v="0"/>
    <n v="2"/>
    <n v="37"/>
    <n v="2879"/>
    <n v="18290"/>
    <n v="203217"/>
    <n v="427603"/>
    <n v="203217"/>
    <n v="4766401"/>
    <n v="5080623"/>
    <n v="56985614514"/>
    <s v="LOS FILÓSOFOS 0251 LOS COIHUES III BLOCK B 502"/>
    <s v="La Araucanía"/>
    <s v="Cautín"/>
    <s v="Temuco"/>
    <s v="NELSON.RZN@GMAIL.COM"/>
    <s v="VOLKSWAGEN"/>
    <s v="Gol Power"/>
    <s v="PORSCHE VOLKSWAGEN SERVICIOS FINANCIEROS SPA"/>
    <x v="0"/>
  </r>
  <r>
    <x v="31"/>
    <s v=" OPSA    "/>
    <s v="JULIO CESAR DIAZ SALINA"/>
    <s v="Masculino"/>
    <n v="45"/>
    <s v="14060332-5"/>
    <n v="1000035000"/>
    <s v="Auto Credit"/>
    <d v="2026-04-06T00:00:00"/>
    <d v="2022-04-18T00:00:00"/>
    <s v="Portal de pagos únicos"/>
    <n v="44"/>
    <n v="48"/>
    <d v="2026-01-26T00:00:00"/>
    <x v="1"/>
    <n v="3"/>
    <n v="65"/>
    <n v="16971"/>
    <n v="62474"/>
    <n v="347080"/>
    <n v="1120685"/>
    <n v="347071"/>
    <n v="0"/>
    <n v="12434545"/>
    <n v="56999124688"/>
    <s v="AV GENERAL SAN MARTIN 305 CASA 67"/>
    <s v="Metropolitana Santiago"/>
    <s v="Chacabuco"/>
    <s v="Lampa"/>
    <s v="JULIO.DIAZ.SALINA@GMAIL.COM"/>
    <s v="VOLKSWAGEN"/>
    <s v="Nivus Highline"/>
    <s v="PORSCHE INTER AUTO CHILE SPA - MOVICENTER"/>
    <x v="0"/>
  </r>
  <r>
    <x v="32"/>
    <s v=" OPSA    "/>
    <s v="SERGIO DAVID REYES OVERSLUIJ"/>
    <s v="Masculino"/>
    <n v="27"/>
    <s v="20328101-3"/>
    <n v="1000079040"/>
    <s v="Auto Credit"/>
    <d v="2026-04-06T00:00:00"/>
    <d v="2023-01-23T00:00:00"/>
    <s v="Portal de pagos únicos"/>
    <n v="35"/>
    <n v="48"/>
    <d v="2026-01-23T00:00:00"/>
    <x v="1"/>
    <n v="3"/>
    <n v="65"/>
    <n v="19284"/>
    <n v="70982"/>
    <n v="394348"/>
    <n v="1273310"/>
    <n v="394348"/>
    <n v="3209421"/>
    <n v="12424172"/>
    <n v="56934046143"/>
    <s v="OSA MAYOR 0574"/>
    <s v="Metropolitana Santiago"/>
    <s v="Santiago  "/>
    <s v="Quilicura"/>
    <s v="DAVIDREYES2209@ICLOUD.COM"/>
    <s v="VOLKSWAGEN"/>
    <s v="Nuevo T-Cross Comfortline"/>
    <s v="PORSCHE INTER AUTO CHILE SPA - MOVICENTER"/>
    <x v="0"/>
  </r>
  <r>
    <x v="33"/>
    <s v=" OPSA    "/>
    <s v="MARCELO ANTONIO OLIVARES VILLARROEL"/>
    <s v="Masculino"/>
    <n v="41"/>
    <s v="16010672-7"/>
    <n v="1000093867"/>
    <s v="Auto Credit"/>
    <d v="2026-04-06T00:00:00"/>
    <d v="2023-04-28T00:00:00"/>
    <s v="PAC Online"/>
    <n v="32"/>
    <n v="72"/>
    <d v="2026-01-03T00:00:00"/>
    <x v="1"/>
    <n v="3"/>
    <n v="65"/>
    <n v="9401"/>
    <n v="34602"/>
    <n v="192231"/>
    <n v="620696"/>
    <n v="192231"/>
    <n v="5057022"/>
    <n v="12896016"/>
    <n v="56962095906"/>
    <s v="MAR JONICO 7511 DEPTO 202"/>
    <s v="Metropolitana Santiago"/>
    <s v="Santiago  "/>
    <s v="Vitacura"/>
    <s v="MARCELO_OLIVARES@ME.COM"/>
    <s v="AUDI"/>
    <s v="A1 Sportback Sport"/>
    <s v="PORSCHE VOLKSWAGEN SERVICIOS FINANCIEROS SPA"/>
    <x v="0"/>
  </r>
  <r>
    <x v="34"/>
    <s v=" OPSA    "/>
    <s v="MANUEL ALEJANDRO GONZALEZ DIAZ"/>
    <s v="Masculino"/>
    <n v="38"/>
    <s v="16804749-5"/>
    <n v="1000102882"/>
    <s v="Auto Credit"/>
    <d v="2026-04-06T00:00:00"/>
    <d v="2023-05-29T00:00:00"/>
    <s v="Portal de pagos únicos"/>
    <n v="31"/>
    <n v="48"/>
    <d v="2026-01-22T00:00:00"/>
    <x v="1"/>
    <n v="3"/>
    <n v="65"/>
    <n v="23185"/>
    <n v="74538"/>
    <n v="276063"/>
    <n v="925912"/>
    <n v="276063"/>
    <n v="3166937"/>
    <n v="8901212"/>
    <n v="56941874924"/>
    <s v="VICUÑA MACKENNA ORIENTE"/>
    <s v="Metropolitana Santiago"/>
    <s v="Santiago  "/>
    <s v="La Florida"/>
    <s v="MGONZALEZD88@GMAIL.COM"/>
    <s v="VOLKSWAGEN"/>
    <s v="T-Cross Comfortline"/>
    <s v="DIFOR PLAZA VESPUCIO"/>
    <x v="0"/>
  </r>
  <r>
    <x v="35"/>
    <s v=" OPSA    "/>
    <s v="GASTON ANDRES RAMIREZ CARCAMO"/>
    <s v="Masculino"/>
    <n v="46"/>
    <s v="14118231-5"/>
    <n v="1000121739"/>
    <s v="Auto Credit"/>
    <d v="2026-04-06T00:00:00"/>
    <d v="2023-08-14T00:00:00"/>
    <s v="Portal de pagos únicos"/>
    <n v="28"/>
    <n v="48"/>
    <d v="2026-03-30T00:00:00"/>
    <x v="1"/>
    <n v="3"/>
    <n v="65"/>
    <n v="26490"/>
    <n v="51848"/>
    <n v="288050"/>
    <n v="942488"/>
    <n v="288050"/>
    <n v="3847950"/>
    <n v="8836584"/>
    <n v="56996747563"/>
    <s v="AVENIDA EL PARQUE 964 ."/>
    <s v="Metropolitana Santiago"/>
    <s v="Chacabuco"/>
    <s v="Lampa"/>
    <s v="GRAMIREZ26@GMAIL.COM"/>
    <s v="VOLKSWAGEN"/>
    <s v="Nuevo T-Cross Trendline"/>
    <s v="JACOB HELO - BILBAO"/>
    <x v="0"/>
  </r>
  <r>
    <x v="36"/>
    <s v=" OPSA    "/>
    <s v="MATIAS MIGUEL AGUILA DE LA VEGA"/>
    <s v="Masculino"/>
    <n v="30"/>
    <s v="19461049-1"/>
    <n v="1000137848"/>
    <s v="Smart Credit"/>
    <d v="2026-04-06T00:00:00"/>
    <d v="2023-10-30T00:00:00"/>
    <s v="Portal de pagos únicos"/>
    <n v="26"/>
    <n v="37"/>
    <d v="2026-01-31T00:00:00"/>
    <x v="1"/>
    <n v="3"/>
    <n v="65"/>
    <n v="22131"/>
    <n v="71157"/>
    <n v="263539"/>
    <n v="883905"/>
    <n v="263539"/>
    <n v="5733317"/>
    <n v="9134952"/>
    <n v="56950164264"/>
    <s v="ISMAEL VALDES VERGARA 552 DPTO 601"/>
    <s v="Metropolitana Santiago"/>
    <s v="Santiago  "/>
    <s v="Santiago"/>
    <s v="MAGUILADLVEGA@GMAIL.COM"/>
    <s v="VOLKSWAGEN"/>
    <s v="Nivus Comfortline"/>
    <s v="AUTOMOTRIZ CORDILLERA S.A. - SALAZAR PLAZA OESTE"/>
    <x v="0"/>
  </r>
  <r>
    <x v="37"/>
    <s v=" OPSA    "/>
    <s v="ANTONIO JESUS GONZALEZ DURAN"/>
    <s v="Masculino"/>
    <n v="38"/>
    <s v="16886865-0"/>
    <n v="1000142094"/>
    <s v="Smart Credit"/>
    <d v="2026-04-06T00:00:00"/>
    <d v="2023-10-30T00:00:00"/>
    <s v="Portal de pagos únicos"/>
    <n v="26"/>
    <n v="37"/>
    <d v="2026-04-01T00:00:00"/>
    <x v="1"/>
    <n v="3"/>
    <n v="65"/>
    <n v="35236"/>
    <n v="46978"/>
    <n v="260988"/>
    <n v="865178"/>
    <n v="260988"/>
    <n v="7019784"/>
    <n v="9847421"/>
    <n v="56951113434"/>
    <s v="BURGOS 111 D. 32"/>
    <s v="Metropolitana Santiago"/>
    <s v="Santiago  "/>
    <s v="Las Condes"/>
    <s v="AGONZALEZ@METRO-OP.COM"/>
    <s v="VOLKSWAGEN"/>
    <s v="Nivus Comfortline"/>
    <s v="JACOB HELO - BILBAO"/>
    <x v="0"/>
  </r>
  <r>
    <x v="38"/>
    <s v=" OPSA    "/>
    <s v="L&amp;Z ARQUITECTURA INGENIERÍAS Y CONSTRUCCIÓN LTDA"/>
    <s v="No definido"/>
    <m/>
    <s v="76296998-K"/>
    <n v="1000155315"/>
    <s v="Smart Credit"/>
    <d v="2026-04-06T00:00:00"/>
    <d v="2023-12-28T00:00:00"/>
    <s v="Descuento por planilla"/>
    <n v="24"/>
    <n v="49"/>
    <d v="2026-01-23T00:00:00"/>
    <x v="1"/>
    <n v="3"/>
    <n v="65"/>
    <n v="45573"/>
    <n v="133476"/>
    <n v="542643"/>
    <n v="1806978"/>
    <n v="542643"/>
    <n v="15734472"/>
    <n v="21798226"/>
    <n v="56968965374"/>
    <s v="AV NUEVA PROVIDENCIA 1881 DPTO 1201"/>
    <s v="Metropolitana Santiago"/>
    <s v="Santiago  "/>
    <s v="Providencia"/>
    <s v="CZUNIGA@LYZPROYECTOS.CL"/>
    <s v="SEAT"/>
    <s v="Cupra Leon 5D Cupra"/>
    <s v="DIFOR PLAZA TOBALABA"/>
    <x v="0"/>
  </r>
  <r>
    <x v="39"/>
    <s v=" OPSA    "/>
    <s v="LUIS FERNANDO ITURRIAGA PARRAGUEZ"/>
    <s v="Masculino"/>
    <n v="51"/>
    <s v="12781697-2"/>
    <n v="1000164101"/>
    <s v="Smart Credit"/>
    <d v="2026-04-06T00:00:00"/>
    <d v="2024-02-19T00:00:00"/>
    <s v="Portal de pagos únicos"/>
    <n v="22"/>
    <n v="49"/>
    <d v="2026-03-31T00:00:00"/>
    <x v="1"/>
    <n v="3"/>
    <n v="65"/>
    <n v="66205"/>
    <n v="66920"/>
    <n v="371783"/>
    <n v="1245102"/>
    <n v="370659"/>
    <n v="10197495"/>
    <n v="13631410"/>
    <n v="56950950367"/>
    <s v="RIO MAÑIHUALES"/>
    <s v="Metropolitana Santiago"/>
    <s v="Cordillera"/>
    <s v="Puente Alto"/>
    <s v="ENRIQUE.PARRAGUEZ@YNK.CL"/>
    <s v="VOLKSWAGEN"/>
    <s v="T-Cross Comfortline"/>
    <s v="PORSCHE INTER AUTO CHILE SPA - MOVICENTER"/>
    <x v="0"/>
  </r>
  <r>
    <x v="40"/>
    <s v=" OPSA    "/>
    <s v="MARCELA ALEJANDRA MACAYA MILLALEN"/>
    <s v="Femenino"/>
    <n v="45"/>
    <s v="14152881-5"/>
    <n v="1000176584"/>
    <s v="Smart Credit"/>
    <d v="2026-04-06T00:00:00"/>
    <d v="2024-04-29T00:00:00"/>
    <s v="Portal de pagos únicos"/>
    <n v="20"/>
    <n v="37"/>
    <d v="2025-12-02T00:00:00"/>
    <x v="1"/>
    <n v="3"/>
    <n v="65"/>
    <n v="23019"/>
    <n v="80364"/>
    <n v="470696"/>
    <n v="1510737"/>
    <n v="469118"/>
    <n v="7349358"/>
    <n v="13338595"/>
    <n v="56984885403"/>
    <s v="AVDA LAS TORRES 250 76"/>
    <s v="Metropolitana Santiago"/>
    <s v="Santiago  "/>
    <s v="Quilicura"/>
    <s v="MAIKOLMULATOM@GMAIL.COM"/>
    <s v="VOLKSWAGEN"/>
    <s v="Virtus Comfortline"/>
    <s v="PORSCHE INTER AUTO CHILE SPA - MOVICENTER"/>
    <x v="0"/>
  </r>
  <r>
    <x v="41"/>
    <s v=" OPSA    "/>
    <s v="MARCELO ANDRÉS ZÚÑIGA NAVARRO"/>
    <s v="Masculino"/>
    <n v="50"/>
    <s v="15377296-7"/>
    <n v="1000196402"/>
    <s v="Auto Credit"/>
    <d v="2026-04-06T00:00:00"/>
    <d v="2024-07-31T00:00:00"/>
    <s v="Portal de pagos únicos"/>
    <n v="17"/>
    <n v="35"/>
    <d v="2026-02-04T00:00:00"/>
    <x v="1"/>
    <n v="3"/>
    <n v="65"/>
    <n v="11677"/>
    <n v="42976"/>
    <n v="238757"/>
    <n v="770924"/>
    <n v="238757"/>
    <n v="2905879"/>
    <n v="6146416"/>
    <n v="56945373413"/>
    <s v="FUNDO EL VETERANO LOTE B S/N"/>
    <s v="Los Lagos"/>
    <s v="Osorno  "/>
    <s v="Puerto Octay"/>
    <s v="PZUNIGAN@GMAIL.COM"/>
    <s v="SKODA"/>
    <s v="Fabia "/>
    <s v="PORSCHE VOLKSWAGEN SERVICIOS FINANCIEROS SPA"/>
    <x v="0"/>
  </r>
  <r>
    <x v="42"/>
    <s v=" OPSA    "/>
    <s v="SAN MARINO SPA"/>
    <s v="No definido"/>
    <m/>
    <s v="77587354-K"/>
    <n v="1000205215"/>
    <s v="Auto Credit"/>
    <d v="2026-04-06T00:00:00"/>
    <d v="2024-09-26T00:00:00"/>
    <s v="Portal de pagos únicos"/>
    <n v="15"/>
    <n v="24"/>
    <d v="2026-01-29T00:00:00"/>
    <x v="1"/>
    <n v="3"/>
    <n v="65"/>
    <n v="23478"/>
    <n v="102276"/>
    <n v="378804"/>
    <n v="1262166"/>
    <n v="378804"/>
    <n v="1777734"/>
    <n v="7233996"/>
    <n v="56988889268"/>
    <s v="MANQUEHUE NORTE 2041-B"/>
    <s v="Metropolitana Santiago"/>
    <s v="Santiago  "/>
    <s v="Vitacura"/>
    <s v="GAREVALO@CUEROYDISENO.CL"/>
    <s v="VOLKSWAGEN"/>
    <s v="Saveiro Power"/>
    <s v="PORSCHE VOLKSWAGEN SERVICIOS FINANCIEROS SPA"/>
    <x v="0"/>
  </r>
  <r>
    <x v="43"/>
    <s v=" OPSA    "/>
    <s v="CLAUDIA ANDREA JOBET PRADO"/>
    <s v="Femenino"/>
    <n v="55"/>
    <s v="11847385-K"/>
    <n v="1000209873"/>
    <s v="Smart Credit"/>
    <d v="2026-04-06T00:00:00"/>
    <d v="2024-09-30T00:00:00"/>
    <s v="Portal de pagos únicos"/>
    <n v="15"/>
    <n v="49"/>
    <d v="2026-01-12T00:00:00"/>
    <x v="1"/>
    <n v="3"/>
    <n v="65"/>
    <n v="23302"/>
    <n v="64828"/>
    <n v="360160"/>
    <n v="1164116"/>
    <n v="358662"/>
    <n v="12509946"/>
    <n v="14409091"/>
    <n v="56998874484"/>
    <s v="FUNDO LAS PEÑAS COLONIA BERNARDO O'HIGGINS LOTE 5"/>
    <s v="Del Bíobío"/>
    <s v="Ñuble"/>
    <s v="Chillán"/>
    <s v="CJOBET@YAHOO.ES"/>
    <s v="VOLKSWAGEN"/>
    <s v="Taos Highline"/>
    <s v="PORSCHE INTER AUTO CHILE SPA - VW IRARRAZAVAL"/>
    <x v="0"/>
  </r>
  <r>
    <x v="44"/>
    <s v=" OPSA    "/>
    <s v="DANIELA ALEJANDRA BUSTAMANTE PARADA"/>
    <s v="Femenino"/>
    <n v="40"/>
    <s v="16355772-K"/>
    <n v="1000214885"/>
    <s v="Auto Credit"/>
    <d v="2026-04-06T00:00:00"/>
    <d v="2024-10-30T00:00:00"/>
    <s v="Portal de pagos únicos"/>
    <n v="14"/>
    <n v="56"/>
    <d v="2026-02-27T00:00:00"/>
    <x v="1"/>
    <n v="3"/>
    <n v="65"/>
    <n v="26318"/>
    <n v="52038"/>
    <n v="289097"/>
    <n v="945647"/>
    <n v="289097"/>
    <n v="7757739"/>
    <n v="9908972"/>
    <n v="56977666745"/>
    <s v="EXEQUIEL FERNANDEZ 1449 EDIF. C DPTO. 211"/>
    <s v="Metropolitana Santiago"/>
    <s v="Santiago  "/>
    <s v="Ñuñoa"/>
    <s v="DANI.BUSTAMANTE.P@GMAIL.COM"/>
    <s v="VOLKSWAGEN"/>
    <s v="Nuevo T-Cross Trendline"/>
    <s v="PORSCHE VOLKSWAGEN SERVICIOS FINANCIEROS SPA"/>
    <x v="0"/>
  </r>
  <r>
    <x v="45"/>
    <s v=" OPSA    "/>
    <s v="GERSON RUBEN ALVINO MARIN"/>
    <s v="Masculino"/>
    <n v="34"/>
    <s v="25805738-4"/>
    <n v="1000231429"/>
    <s v="Auto Credit"/>
    <d v="2026-04-06T00:00:00"/>
    <d v="2025-01-31T00:00:00"/>
    <s v="Portal de pagos únicos"/>
    <n v="11"/>
    <n v="36"/>
    <d v="2026-01-13T00:00:00"/>
    <x v="1"/>
    <n v="3"/>
    <n v="65"/>
    <n v="18336"/>
    <n v="51010"/>
    <n v="283386"/>
    <n v="919504"/>
    <n v="283386"/>
    <n v="4818337"/>
    <n v="8250705"/>
    <n v="56934433573"/>
    <s v="PLAZA LAS VERTIENTES NORTE 918"/>
    <s v="Del Libertador B. O'Higgins"/>
    <s v="Cachapoal"/>
    <s v="Machalí"/>
    <s v="ALVINOMARINGERSONRUBEN@GMAIL.COM"/>
    <s v="VOLKSWAGEN"/>
    <s v="Polo Highline"/>
    <s v="DEL REAL - RANCAGUA"/>
    <x v="0"/>
  </r>
  <r>
    <x v="46"/>
    <s v=" OPSA    "/>
    <s v="JAIRO EDUARDO AMPUERO PIÑA"/>
    <s v="Masculino"/>
    <n v="24"/>
    <s v="21053904-2"/>
    <n v="1000240002"/>
    <s v="Smart Credit"/>
    <d v="2026-04-06T00:00:00"/>
    <d v="2025-02-28T00:00:00"/>
    <s v="Portal de pagos únicos"/>
    <n v="10"/>
    <n v="49"/>
    <d v="2025-12-30T00:00:00"/>
    <x v="1"/>
    <n v="3"/>
    <n v="65"/>
    <n v="17675"/>
    <n v="65066"/>
    <n v="361477"/>
    <n v="1167172"/>
    <n v="361477"/>
    <n v="11823575"/>
    <n v="13476882"/>
    <n v="56937324367"/>
    <s v="PASAJE LA FUENTE 1695"/>
    <s v="Metropolitana Santiago"/>
    <s v="Santiago  "/>
    <s v="La Pintana"/>
    <s v="JAIROAMPUERO65@GMAIL.COM"/>
    <s v="VOLKSWAGEN"/>
    <s v="Virtus Comfortline"/>
    <s v="DIFOR LA FLORIDA"/>
    <x v="0"/>
  </r>
  <r>
    <x v="47"/>
    <s v=" OPSA    "/>
    <s v="RAQUEL ANDREA GONZÁLEZ RÍOS"/>
    <s v="Femenino"/>
    <n v="38"/>
    <s v="16905983-7"/>
    <n v="1000252787"/>
    <s v="Auto Credit"/>
    <d v="2026-04-06T00:00:00"/>
    <d v="2025-04-22T00:00:00"/>
    <s v="Portal de pagos únicos"/>
    <n v="8"/>
    <n v="35"/>
    <d v="2026-01-26T00:00:00"/>
    <x v="1"/>
    <n v="3"/>
    <n v="65"/>
    <n v="15873"/>
    <n v="69159"/>
    <n v="256139"/>
    <n v="853449"/>
    <n v="256139"/>
    <n v="5095918"/>
    <n v="7255808"/>
    <n v="56991586815"/>
    <s v="AV. 10 DE JULIO N°1133, SECTOR 3 TORRE D DE"/>
    <s v="Metropolitana Santiago"/>
    <s v="Santiago  "/>
    <s v="Santiago"/>
    <s v="RAQUELANDREAGONZALEZ@GMAIL.COM"/>
    <s v="VOLKSWAGEN"/>
    <s v="Nuevo T-Cross Comfortline"/>
    <s v="PORSCHE VOLKSWAGEN SERVICIOS FINANCIEROS SPA"/>
    <x v="0"/>
  </r>
  <r>
    <x v="48"/>
    <s v=" OPSA    "/>
    <s v="BRAULIO ALFREDO SANDOVAL VIDAL"/>
    <s v="Masculino"/>
    <n v="41"/>
    <s v="16121634-8"/>
    <n v="1000268993"/>
    <s v="Auto Credit"/>
    <d v="2026-04-06T00:00:00"/>
    <d v="2025-06-23T00:00:00"/>
    <s v="Portal de pagos únicos"/>
    <n v="6"/>
    <n v="34"/>
    <d v="2026-04-01T00:00:00"/>
    <x v="1"/>
    <n v="3"/>
    <n v="65"/>
    <n v="28327"/>
    <n v="55448"/>
    <n v="308047"/>
    <n v="717176"/>
    <n v="308047"/>
    <n v="5957762"/>
    <n v="7802601"/>
    <n v="56973797707"/>
    <s v="LAUTARO 18544 13"/>
    <s v="Metropolitana Santiago"/>
    <s v="Santiago  "/>
    <s v="Maipú"/>
    <s v="BRAULIO.SANDOVAL@GMAIL.COM"/>
    <s v="VOLKSWAGEN"/>
    <s v="Nuevo Polo Highline"/>
    <s v="PORSCHE VOLKSWAGEN SERVICIOS FINANCIEROS SPA"/>
    <x v="0"/>
  </r>
  <r>
    <x v="49"/>
    <s v=" OPSA    "/>
    <s v="JENNIFER GUILLERMINA OPAZO MELO"/>
    <s v="Femenino"/>
    <n v="42"/>
    <s v="15970383-5"/>
    <n v="1000281450"/>
    <s v="Auto Credit"/>
    <d v="2026-04-06T00:00:00"/>
    <d v="2025-07-23T00:00:00"/>
    <s v="Portal de pagos únicos"/>
    <n v="5"/>
    <n v="52"/>
    <d v="2026-01-20T00:00:00"/>
    <x v="1"/>
    <n v="3"/>
    <n v="65"/>
    <n v="17323"/>
    <n v="41944"/>
    <n v="233017"/>
    <n v="758318"/>
    <n v="233017"/>
    <n v="6785750"/>
    <n v="7642905"/>
    <n v="56986694781"/>
    <s v="PEATONES G 6635 0"/>
    <s v="Metropolitana Santiago"/>
    <s v="Santiago  "/>
    <s v="Peñalolén"/>
    <s v="LULOPET@GMAIL.COM"/>
    <s v="VOLKSWAGEN"/>
    <s v="Nuevo Polo Highline"/>
    <s v="PORSCHE VOLKSWAGEN SERVICIOS FINANCIEROS SPA"/>
    <x v="0"/>
  </r>
  <r>
    <x v="50"/>
    <s v=" OPSA    "/>
    <s v="KARINA ANDREA LORCA GONZALEZ"/>
    <s v="Femenino"/>
    <n v="51"/>
    <s v="13064104-0"/>
    <n v="1000290379"/>
    <s v="Auto Credit"/>
    <d v="2026-04-06T00:00:00"/>
    <d v="2025-08-11T00:00:00"/>
    <s v="Portal de pagos únicos"/>
    <n v="4"/>
    <n v="54"/>
    <d v="2026-01-13T00:00:00"/>
    <x v="1"/>
    <n v="3"/>
    <n v="65"/>
    <n v="31198"/>
    <n v="95414"/>
    <n v="596107"/>
    <n v="1914933"/>
    <n v="596107"/>
    <n v="18627291"/>
    <n v="20677310"/>
    <n v="56995342043"/>
    <s v="ALVARO CASANOVA 219 CASA N"/>
    <s v="Metropolitana Santiago"/>
    <s v="Santiago  "/>
    <s v="La Reina"/>
    <s v="LORCAKARINA@HOTMAIL.COM"/>
    <s v="SEAT"/>
    <s v="Cupra Formentor Cupra"/>
    <s v="PORSCHE VOLKSWAGEN SERVICIOS FINANCIEROS SPA"/>
    <x v="0"/>
  </r>
  <r>
    <x v="51"/>
    <s v=" OPSA    "/>
    <s v="VALENTINA SOLEDAD ROJAS OLIVARES"/>
    <s v="Femenino"/>
    <n v="33"/>
    <s v="18249486-0"/>
    <n v="1000326896"/>
    <s v="Auto Credit"/>
    <d v="2026-04-06T00:00:00"/>
    <d v="2025-10-23T00:00:00"/>
    <s v="PAC Online"/>
    <n v="2"/>
    <n v="47"/>
    <d v="2026-01-22T00:00:00"/>
    <x v="1"/>
    <n v="3"/>
    <n v="65"/>
    <n v="12308"/>
    <n v="45310"/>
    <n v="251717"/>
    <n v="812769"/>
    <n v="251717"/>
    <n v="7046444"/>
    <n v="7694043"/>
    <n v="56948862788"/>
    <s v="CAMINO DEL ACUEDUCTO 3460 56"/>
    <s v="Metropolitana Santiago"/>
    <s v="Cordillera"/>
    <s v="Puente Alto"/>
    <s v="VALENTINAROJASOLIVARES@GMAIL.COM"/>
    <s v="VOLKSWAGEN"/>
    <s v="T-Cross Trendline"/>
    <s v="PORSCHE VOLKSWAGEN SERVICIOS FINANCIEROS SPA"/>
    <x v="0"/>
  </r>
  <r>
    <x v="52"/>
    <s v=" OPSA    "/>
    <s v="RUBEN MARCOS GUZMAN SOTO"/>
    <s v="Masculino"/>
    <n v="58"/>
    <s v="10275978-8"/>
    <n v="1000362418"/>
    <s v="Smart Credit"/>
    <d v="2026-04-06T00:00:00"/>
    <d v="2025-12-30T00:00:00"/>
    <s v="Portal de pagos únicos"/>
    <n v="0"/>
    <n v="49"/>
    <m/>
    <x v="1"/>
    <n v="3"/>
    <n v="65"/>
    <n v="22049"/>
    <n v="77990"/>
    <n v="450906"/>
    <n v="1448566"/>
    <n v="449509"/>
    <n v="18334856"/>
    <n v="18844839"/>
    <n v="56982057371"/>
    <s v="BIO BIO 781"/>
    <s v="Metropolitana Santiago"/>
    <s v="Santiago  "/>
    <s v="Santiago"/>
    <s v="RUBENGUZMANSOTO97@GMAIL.COM"/>
    <s v="SEAT"/>
    <s v="Cupra Leon 5D 150 hp"/>
    <s v="AUTOMOTRIZ CORDILLERA S.A. - SALAZAR PLAZA OESTE"/>
    <x v="0"/>
  </r>
  <r>
    <x v="53"/>
    <s v=" OPSA    "/>
    <s v="RAFAEL EDUARDO FUENZALIDA DELPIANO"/>
    <s v="Masculino"/>
    <n v="46"/>
    <s v="13916772-4"/>
    <n v="1000073378"/>
    <s v="Auto Credit"/>
    <d v="2026-04-06T00:00:00"/>
    <d v="2022-11-30T00:00:00"/>
    <s v="Portal de pagos únicos"/>
    <n v="36"/>
    <n v="48"/>
    <d v="2026-01-05T00:00:00"/>
    <x v="2"/>
    <n v="4"/>
    <n v="96"/>
    <n v="38630"/>
    <n v="94989"/>
    <n v="351809"/>
    <n v="1540855"/>
    <n v="351809"/>
    <n v="2246932"/>
    <n v="10922545"/>
    <n v="56965442290"/>
    <s v="RINCONADA EL SALTO 940 DPTO 1301"/>
    <s v="Metropolitana Santiago"/>
    <s v="Santiago  "/>
    <s v="Huechuraba"/>
    <s v="DONRAFAF@GMAIL.COM"/>
    <s v="SEAT"/>
    <s v="Ibiza FR"/>
    <s v="PORSCHE INTER AUTO CHILE SPA - MOVICENTER - SEAT"/>
    <x v="0"/>
  </r>
  <r>
    <x v="54"/>
    <s v=" OPSA    "/>
    <s v="CONSTRUCTORA Y COMERCIAL JOIS LIMITADA"/>
    <s v="No definido"/>
    <m/>
    <s v="76882045-7"/>
    <n v="1000103862"/>
    <s v="Auto Credit"/>
    <d v="2026-04-06T00:00:00"/>
    <d v="2023-05-31T00:00:00"/>
    <s v="Portal de pagos únicos"/>
    <n v="30"/>
    <n v="36"/>
    <d v="2025-12-17T00:00:00"/>
    <x v="2"/>
    <n v="4"/>
    <n v="96"/>
    <n v="108835"/>
    <n v="199914"/>
    <n v="911738"/>
    <n v="3955701"/>
    <n v="911738"/>
    <n v="896408"/>
    <n v="24530252"/>
    <n v="56994185078"/>
    <s v="ERNESTO PINTO LAGARRIGUE"/>
    <s v="Del Bíobío"/>
    <s v="Concepción  "/>
    <s v="Coronel"/>
    <s v="JOISTRANSPORTES@GMAIL.COM"/>
    <s v="VOLKSWAGEN"/>
    <s v="Amarok Comfortline"/>
    <s v="AUTOMOTRIZ CORDILLERA S.A. - PRAT CONCEPCIÓN"/>
    <x v="0"/>
  </r>
  <r>
    <x v="55"/>
    <s v=" OPSA    "/>
    <s v="ENRIQUE GUILLERMO OJEDA VILLAGRAN"/>
    <s v="Masculino"/>
    <n v="40"/>
    <s v="17535176-0"/>
    <n v="1000137481"/>
    <s v="Smart Credit"/>
    <d v="2026-04-06T00:00:00"/>
    <d v="2023-10-16T00:00:00"/>
    <s v="Portal de pagos únicos"/>
    <n v="25"/>
    <n v="49"/>
    <d v="2025-12-23T00:00:00"/>
    <x v="2"/>
    <n v="4"/>
    <n v="96"/>
    <n v="73976"/>
    <n v="177166"/>
    <n v="539408"/>
    <n v="2408774"/>
    <n v="539408"/>
    <n v="14904270"/>
    <n v="20928552"/>
    <n v="56989240809"/>
    <s v="AV INDEPENDENCIA 4599 1002"/>
    <s v="Metropolitana Santiago"/>
    <s v="Santiago  "/>
    <s v="Conchalí"/>
    <s v="OJEDAV@GMAIL.COM"/>
    <s v="SEAT"/>
    <s v="Tarraco Xcellence"/>
    <s v="PORSCHE INTER AUTO CHILE SPA - MOVICENTER - SEAT"/>
    <x v="0"/>
  </r>
  <r>
    <x v="56"/>
    <s v=" OPSA    "/>
    <s v="BASTIÁN ANDRÉS MIRANDA MUNIZAGA"/>
    <s v="Masculino"/>
    <n v="31"/>
    <s v="19101765-K"/>
    <n v="1000157997"/>
    <s v="Auto Credit"/>
    <d v="2026-04-06T00:00:00"/>
    <d v="2024-02-09T00:00:00"/>
    <s v="Portal de pagos únicos"/>
    <n v="21"/>
    <n v="36"/>
    <d v="2026-01-29T00:00:00"/>
    <x v="2"/>
    <n v="4"/>
    <n v="96"/>
    <n v="20264"/>
    <n v="87123"/>
    <n v="322683"/>
    <n v="1081579"/>
    <n v="322683"/>
    <n v="2884983"/>
    <n v="8369650"/>
    <n v="56956400668"/>
    <s v="JOSE ARTIGAS 5255"/>
    <s v="Antofagasta"/>
    <s v="Antofagasta"/>
    <s v="Antofagasta"/>
    <s v="BM.MUNIZAGA@GMAIL.COM"/>
    <s v="VOLKSWAGEN"/>
    <s v="Nivus Comfortline"/>
    <s v="MARUBENI AUTO LTDA - MARUBENI ANTOFAGASTA"/>
    <x v="0"/>
  </r>
  <r>
    <x v="57"/>
    <s v=" OPSA    "/>
    <s v="ALBERTO ALONSO HERRERA ARAOS"/>
    <s v="Masculino"/>
    <n v="43"/>
    <s v="15037316-6"/>
    <n v="1000183416"/>
    <s v="Smart Credit"/>
    <d v="2026-04-06T00:00:00"/>
    <d v="2024-05-30T00:00:00"/>
    <s v="Portal de pagos únicos"/>
    <n v="18"/>
    <n v="37"/>
    <d v="2026-01-30T00:00:00"/>
    <x v="2"/>
    <n v="4"/>
    <n v="96"/>
    <n v="52366"/>
    <n v="219795"/>
    <n v="412227"/>
    <n v="1804963"/>
    <n v="410649"/>
    <n v="9961574"/>
    <n v="14042179"/>
    <n v="56997308587"/>
    <s v="AV LOS TOROS 05526 101D"/>
    <s v="Metropolitana Santiago"/>
    <s v="Santiago  "/>
    <s v="Santiago"/>
    <s v="ALBERTOHERRERAARAOS@GMAIL.COM"/>
    <s v="VOLKSWAGEN"/>
    <s v="T-Cross Comfortline"/>
    <s v="DIFOR PLAZA VESPUCIO"/>
    <x v="0"/>
  </r>
  <r>
    <x v="58"/>
    <s v=" OPSA    "/>
    <s v="FRANCIA LIZETH HENAO HERNANDEZ"/>
    <s v="Femenino"/>
    <n v="33"/>
    <s v="24654095-0"/>
    <n v="1000324567"/>
    <s v="Auto Credit"/>
    <d v="2026-04-06T00:00:00"/>
    <d v="2025-10-31T00:00:00"/>
    <s v="PAC Online"/>
    <n v="1"/>
    <n v="48"/>
    <d v="2025-12-11T00:00:00"/>
    <x v="2"/>
    <n v="4"/>
    <n v="96"/>
    <n v="47198"/>
    <n v="114141"/>
    <n v="435227"/>
    <n v="1902247"/>
    <n v="435227"/>
    <n v="11896075"/>
    <n v="12898410"/>
    <n v="974190633"/>
    <s v="CHILOE 3601 DEPTO 502"/>
    <s v="Metropolitana Santiago"/>
    <s v="Santiago  "/>
    <s v="San Miguel"/>
    <s v="franciahenao502@gmail.com"/>
    <s v="JETOUR"/>
    <s v="DASHING MT 1.5"/>
    <s v="DIFOR LA FLORIDA"/>
    <x v="0"/>
  </r>
  <r>
    <x v="59"/>
    <s v=" OPSA    "/>
    <s v="NATALIE BERENICE GONZALEZ DONOSO"/>
    <s v="Masculino"/>
    <n v="43"/>
    <s v="15731149-2"/>
    <n v="1000287190"/>
    <s v="Auto Credit"/>
    <d v="2026-04-06T00:00:00"/>
    <d v="2025-08-19T00:00:00"/>
    <s v="PAC Online"/>
    <n v="2"/>
    <n v="36"/>
    <d v="2026-02-09T00:00:00"/>
    <x v="3"/>
    <n v="5"/>
    <n v="127"/>
    <n v="104974"/>
    <n v="154458"/>
    <n v="444786"/>
    <n v="2483362"/>
    <n v="444786"/>
    <n v="9182408"/>
    <n v="10983088"/>
    <n v="56961591856"/>
    <s v="BERNARDO OHIGGINS SN"/>
    <s v="Del Libertador B. O'Higgins"/>
    <s v="Cachapoal"/>
    <s v="Coinco"/>
    <s v="NATALIEBERENICE@ICLOUD.COM"/>
    <s v="PEUGEOT"/>
    <s v="208 ALLURE 1.2 82HP"/>
    <s v="DEL REAL - RANCAGUA"/>
    <x v="0"/>
  </r>
  <r>
    <x v="60"/>
    <s v=" OPSA    "/>
    <s v="KURT LOHSE VALENZUELA"/>
    <s v="Masculino"/>
    <n v="53"/>
    <s v="10995761-5"/>
    <n v="1000270009"/>
    <s v="Auto Credit"/>
    <d v="2026-04-06T00:00:00"/>
    <d v="2025-06-24T00:00:00"/>
    <s v="Portal de pagos únicos"/>
    <n v="4"/>
    <n v="24"/>
    <d v="2025-11-28T00:00:00"/>
    <x v="3"/>
    <n v="5"/>
    <n v="127"/>
    <n v="187760"/>
    <n v="347796"/>
    <n v="960648"/>
    <n v="5338796"/>
    <n v="960648"/>
    <n v="11472905"/>
    <n v="17934701"/>
    <n v="56999911449"/>
    <s v="JOHN SCOTT JACKSON 3084"/>
    <s v="Del Bíobío"/>
    <s v="Concepción  "/>
    <s v="San Pedro de la Paz"/>
    <s v="KLOHSEV@GMAIL.COM"/>
    <s v="AUDI"/>
    <s v="Q3 Sportback Sport"/>
    <s v="PORSCHE VOLKSWAGEN SERVICIOS FINANCIEROS SPA"/>
    <x v="0"/>
  </r>
  <r>
    <x v="61"/>
    <s v=" OPSA    "/>
    <s v="JUAN IGNACIO DÍAZ DE VALDÉS ANICH"/>
    <s v="Masculino"/>
    <n v="44"/>
    <s v="15379542-8"/>
    <n v="1000112535"/>
    <s v="Auto Credit"/>
    <d v="2026-04-06T00:00:00"/>
    <d v="2023-07-12T00:00:00"/>
    <s v="Portal de pagos únicos"/>
    <n v="27"/>
    <n v="48"/>
    <d v="2025-10-29T00:00:00"/>
    <x v="3"/>
    <n v="5"/>
    <n v="127"/>
    <n v="48355"/>
    <n v="95440"/>
    <n v="265113"/>
    <n v="1469360"/>
    <n v="265113"/>
    <n v="3395186"/>
    <n v="8402252"/>
    <n v="56950153259"/>
    <s v="AV. SAN JOAQUIN 31 423"/>
    <s v="Del Libertador B. O'Higgins"/>
    <s v="Cachapoal"/>
    <s v="Rancagua"/>
    <s v="MJSAAVEDRAA@GMAIL.COM"/>
    <s v="VOLKSWAGEN"/>
    <s v="Taos Comfortline"/>
    <s v="DEL REAL - RANCAGUA"/>
    <x v="0"/>
  </r>
  <r>
    <x v="62"/>
    <s v=" OPSA    "/>
    <s v="DRONESPRAY SPA"/>
    <s v="No definido"/>
    <m/>
    <s v="77309907-3"/>
    <n v="1000091554"/>
    <s v="Auto Credit"/>
    <d v="2026-04-06T00:00:00"/>
    <d v="2023-04-29T00:00:00"/>
    <s v="PAC Online"/>
    <n v="30"/>
    <n v="36"/>
    <d v="2025-11-26T00:00:00"/>
    <x v="3"/>
    <n v="5"/>
    <n v="127"/>
    <n v="246906"/>
    <n v="438569"/>
    <n v="1263224"/>
    <n v="7001595"/>
    <n v="1263219"/>
    <n v="0"/>
    <n v="33751430"/>
    <n v="56973077528"/>
    <s v="AV LEON BUSTOS"/>
    <s v="Del Maule"/>
    <s v="Linares  "/>
    <s v="Linares"/>
    <s v="CEO@MMSPRAY.CL"/>
    <s v="VOLKSWAGEN"/>
    <s v="Amarok Aventura"/>
    <s v="PORSCHE INTER AUTO CHILE SPA - VW ZENTRUM"/>
    <x v="0"/>
  </r>
  <r>
    <x v="63"/>
    <s v=" OPSA   E"/>
    <s v="MAURICIO ANDRÉS MOLINA SALAZAR"/>
    <s v="Masculino"/>
    <n v="37"/>
    <s v="17244647-7"/>
    <n v="1000065715"/>
    <s v="Smart Credit"/>
    <d v="2026-04-06T00:00:00"/>
    <d v="2022-09-30T00:00:00"/>
    <s v="Portal de pagos únicos"/>
    <n v="36"/>
    <n v="37"/>
    <d v="2026-02-26T00:00:00"/>
    <x v="4"/>
    <n v="1"/>
    <n v="157"/>
    <n v="424709"/>
    <n v="197238"/>
    <n v="4196000"/>
    <n v="4817947"/>
    <n v="0"/>
    <n v="0"/>
    <n v="6628465"/>
    <n v="56968233281"/>
    <s v="PORTO ALEGRE 5653"/>
    <s v="Metropolitana Santiago"/>
    <s v="Santiago  "/>
    <s v="San Miguel"/>
    <s v="MAURICIOMOLINA.JJLC@GMAIL.COM"/>
    <s v="VOLKSWAGEN"/>
    <s v="Gol HB Power"/>
    <s v="DIFOR LA FLORIDA"/>
    <x v="0"/>
  </r>
  <r>
    <x v="64"/>
    <s v=" OPSA    "/>
    <s v="SONIA ISABEL LONCON COLICHEO"/>
    <s v="Femenino"/>
    <n v="49"/>
    <s v="13398123-3"/>
    <n v="1000047423"/>
    <s v="Auto Credit"/>
    <d v="2026-04-06T00:00:00"/>
    <d v="2022-06-28T00:00:00"/>
    <s v="Portal de pagos únicos"/>
    <n v="39"/>
    <n v="48"/>
    <d v="2026-03-31T00:00:00"/>
    <x v="4"/>
    <n v="6"/>
    <n v="157"/>
    <n v="116846"/>
    <n v="172396"/>
    <n v="273639"/>
    <n v="1848563"/>
    <n v="273639"/>
    <n v="522005"/>
    <n v="8338033"/>
    <n v="56983406095"/>
    <s v="PJE. CANCHAS 5345"/>
    <s v="Metropolitana Santiago"/>
    <s v="Santiago  "/>
    <s v="Conchalí"/>
    <s v="SLONCON77@GMAIL.COM"/>
    <s v="VOLKSWAGEN"/>
    <s v="Voyage Power"/>
    <s v="PORSCHE INTER AUTO CHILE SPA - PLAZA NORTE"/>
    <x v="0"/>
  </r>
  <r>
    <x v="65"/>
    <s v=" OPSA   E"/>
    <s v="LUIS ESTEBAN LEONARDO ARAVENA SOTO"/>
    <s v="Masculino"/>
    <n v="26"/>
    <s v="20210435-5"/>
    <n v="1000016285"/>
    <s v="Auto Credit"/>
    <d v="2026-04-06T00:00:00"/>
    <d v="2021-09-30T00:00:00"/>
    <s v="Portal de pagos únicos"/>
    <n v="46"/>
    <n v="48"/>
    <d v="2025-09-08T00:00:00"/>
    <x v="5"/>
    <n v="2"/>
    <n v="218"/>
    <n v="43913"/>
    <n v="27766"/>
    <n v="161524"/>
    <n v="380194"/>
    <n v="0"/>
    <n v="0"/>
    <n v="5688948"/>
    <n v="56930689359"/>
    <s v="PEDRO LAGOS 187"/>
    <s v="Del Bíobío"/>
    <s v="Bío- Bío"/>
    <s v="Laja"/>
    <s v="LUIS2020APP@GMAIL.COM"/>
    <s v="VOLKSWAGEN"/>
    <s v="Nuevo Polo Trendline"/>
    <s v="AUTOMOTRIZ CORDILLERA S.A. - SALAZAR ISRAEL TEMUC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FD48F-A638-4667-927D-937A9B40554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0" firstHeaderRow="0" firstDataRow="1" firstDataCol="1"/>
  <pivotFields count="34">
    <pivotField dataField="1" showAll="0">
      <items count="67">
        <item x="65"/>
        <item x="31"/>
        <item x="0"/>
        <item x="64"/>
        <item x="1"/>
        <item x="63"/>
        <item x="2"/>
        <item x="53"/>
        <item x="32"/>
        <item x="3"/>
        <item x="4"/>
        <item x="62"/>
        <item x="33"/>
        <item x="5"/>
        <item x="34"/>
        <item x="54"/>
        <item x="61"/>
        <item x="6"/>
        <item x="35"/>
        <item x="7"/>
        <item x="8"/>
        <item x="55"/>
        <item x="36"/>
        <item x="9"/>
        <item x="37"/>
        <item x="10"/>
        <item x="11"/>
        <item x="12"/>
        <item x="38"/>
        <item x="56"/>
        <item x="13"/>
        <item x="39"/>
        <item x="14"/>
        <item x="15"/>
        <item x="40"/>
        <item x="16"/>
        <item x="17"/>
        <item x="57"/>
        <item x="41"/>
        <item x="18"/>
        <item x="42"/>
        <item x="43"/>
        <item x="19"/>
        <item x="44"/>
        <item x="20"/>
        <item x="45"/>
        <item x="21"/>
        <item x="46"/>
        <item x="22"/>
        <item x="47"/>
        <item x="23"/>
        <item x="24"/>
        <item x="48"/>
        <item x="60"/>
        <item x="25"/>
        <item x="49"/>
        <item x="59"/>
        <item x="50"/>
        <item x="26"/>
        <item x="58"/>
        <item x="27"/>
        <item x="51"/>
        <item x="28"/>
        <item x="29"/>
        <item x="5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numFmtId="4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N° Contrato" fld="0" subtotal="count" baseField="0" baseItem="0"/>
    <dataField name="Suma de Monto Adeudado" fld="20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6CA42-9557-4203-BDB7-150EBB70627C}" name="Tabla2" displayName="Tabla2" ref="A3:AH69" totalsRowShown="0">
  <autoFilter ref="A3:AH69" xr:uid="{AFB55E12-9BBB-4EE0-9CCD-0DEA0BB1E7DD}"/>
  <tableColumns count="34">
    <tableColumn id="1" xr3:uid="{C0013993-CEFE-4517-9B90-0B7ECBEAE445}" name="N° Contrato"/>
    <tableColumn id="2" xr3:uid="{89C1E29F-3052-4F67-B8AD-34C5C51A0448}" name="Estado contrato"/>
    <tableColumn id="3" xr3:uid="{FB85DA2C-A516-40BE-91CC-925E0203792B}" name="Nombre Cliente"/>
    <tableColumn id="4" xr3:uid="{1D2CD774-511B-4D66-B37D-E5C64D65C181}" name="Género"/>
    <tableColumn id="5" xr3:uid="{C4C50748-FA14-4F4E-A5AC-581F106028B2}" name="Edad"/>
    <tableColumn id="6" xr3:uid="{C4207337-87EE-4715-AE80-CCA448630301}" name="Rut Cliente"/>
    <tableColumn id="7" xr3:uid="{E65CDA68-7E2C-4D25-A244-08614D7703FD}" name="N° Identificador Servipag"/>
    <tableColumn id="8" xr3:uid="{6CB367FB-20B1-4D14-B63D-DEF6DBD757F9}" name="Tipo de Producto"/>
    <tableColumn id="9" xr3:uid="{251A3C77-9D0C-4CEA-A69F-1F4F603736D5}" name="Fecha Reporte" dataDxfId="2"/>
    <tableColumn id="10" xr3:uid="{5C92BC15-178B-468F-ACCC-7704A17F4A85}" name="Fecha de activación" dataDxfId="1"/>
    <tableColumn id="11" xr3:uid="{25BA0472-49EE-4D75-B2C9-B232DA563AC0}" name="Forma de Pago"/>
    <tableColumn id="12" xr3:uid="{AB7D09E4-A924-440D-859A-D8DD7F59117F}" name="Cuotas Pagadas"/>
    <tableColumn id="13" xr3:uid="{25A2BA3A-F2DA-4CA5-8A91-F5B81D00E0E2}" name="Cuotas Totales"/>
    <tableColumn id="14" xr3:uid="{C43ECF3C-7535-4069-91B0-234CCA395D6D}" name="Fecha último pago" dataDxfId="0"/>
    <tableColumn id="15" xr3:uid="{E9890284-B30F-417A-83AB-DC9703E5AC32}" name="Tramo de mora"/>
    <tableColumn id="16" xr3:uid="{00D33D07-FEBD-488F-8643-A0A0587F9777}" name="Cuotas en mora"/>
    <tableColumn id="17" xr3:uid="{7F1C0C30-1F93-408D-9BC0-EE1CFD29273B}" name="Días en mora"/>
    <tableColumn id="18" xr3:uid="{9A546931-A0A2-4C9F-B732-B6C0F9038313}" name="Intereses Mora"/>
    <tableColumn id="19" xr3:uid="{32456CB2-25E3-4423-8037-EFCC45D37719}" name="Gastos Cobranza"/>
    <tableColumn id="20" xr3:uid="{8309E420-C9CB-47AC-ADDA-2F9CD3D4C586}" name="Valor Cuota"/>
    <tableColumn id="21" xr3:uid="{DF45722C-DCA0-4370-A8A1-289257AC0574}" name="Monto Adeudado" dataCellStyle="Moneda [0]"/>
    <tableColumn id="22" xr3:uid="{D76DE894-84B4-48FC-A399-A58BD2DFC9C1}" name="Unmatured"/>
    <tableColumn id="23" xr3:uid="{11E4C9CC-1AED-4700-8A75-60B9F56FE2F7}" name="Barwert"/>
    <tableColumn id="24" xr3:uid="{4E69766F-24CB-4287-BAD0-BE6FD940AC40}" name="Monto Financiado"/>
    <tableColumn id="25" xr3:uid="{A9007DE7-4559-46DF-8259-A679A56A10A3}" name="Fono cliente"/>
    <tableColumn id="26" xr3:uid="{8693C9D4-38AB-436D-BAC9-3420839EDBDE}" name="Dirección cliente"/>
    <tableColumn id="27" xr3:uid="{CD3F0ABB-B695-4867-95CC-39CAB8CB56E4}" name="Región cliente"/>
    <tableColumn id="28" xr3:uid="{632D61A6-CF5F-473E-BF37-2F6BA8A5D793}" name="Ciudad"/>
    <tableColumn id="29" xr3:uid="{5CCBE978-4CAA-4919-A5EC-74B805B9790D}" name="Comuna"/>
    <tableColumn id="30" xr3:uid="{2DECD43C-2E02-4383-BCD9-C8641DE283E8}" name="E-mail"/>
    <tableColumn id="31" xr3:uid="{C5E367D0-9086-466C-9779-740F9F268B4E}" name="Marca Vehículo"/>
    <tableColumn id="32" xr3:uid="{7566A8DD-D76B-4525-BCF1-09FD7C6EB427}" name="Modelo Vehículo"/>
    <tableColumn id="33" xr3:uid="{A68A5107-6F5A-4C30-811C-3895AB0964D4}" name="DealerName"/>
    <tableColumn id="34" xr3:uid="{7EAF9741-2D60-4A6F-A46C-CCF71526B8E8}" name="Asignacion M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5E4-531C-4AEC-B153-A2F26BDF8927}">
  <dimension ref="A1:AH69"/>
  <sheetViews>
    <sheetView tabSelected="1" workbookViewId="0">
      <selection activeCell="A2" sqref="A2"/>
    </sheetView>
  </sheetViews>
  <sheetFormatPr baseColWidth="10" defaultRowHeight="15" x14ac:dyDescent="0.25"/>
  <cols>
    <col min="1" max="1" width="12.7109375" bestFit="1" customWidth="1"/>
    <col min="2" max="2" width="16.140625" bestFit="1" customWidth="1"/>
    <col min="3" max="3" width="48.42578125" bestFit="1" customWidth="1"/>
    <col min="4" max="5" width="11" bestFit="1" customWidth="1"/>
    <col min="6" max="6" width="12.42578125" bestFit="1" customWidth="1"/>
    <col min="7" max="7" width="24" bestFit="1" customWidth="1"/>
    <col min="8" max="8" width="17" bestFit="1" customWidth="1"/>
    <col min="9" max="9" width="15.140625" bestFit="1" customWidth="1"/>
    <col min="10" max="10" width="19.85546875" bestFit="1" customWidth="1"/>
    <col min="11" max="11" width="19" bestFit="1" customWidth="1"/>
    <col min="12" max="12" width="16.42578125" bestFit="1" customWidth="1"/>
    <col min="13" max="13" width="15.42578125" bestFit="1" customWidth="1"/>
    <col min="14" max="14" width="18.42578125" bestFit="1" customWidth="1"/>
    <col min="15" max="15" width="15.42578125" bestFit="1" customWidth="1"/>
    <col min="16" max="16" width="16.140625" bestFit="1" customWidth="1"/>
    <col min="17" max="17" width="13.85546875" bestFit="1" customWidth="1"/>
    <col min="18" max="18" width="15.28515625" bestFit="1" customWidth="1"/>
    <col min="19" max="19" width="17.140625" bestFit="1" customWidth="1"/>
    <col min="20" max="20" width="12.7109375" bestFit="1" customWidth="1"/>
    <col min="21" max="21" width="17.140625" style="3" bestFit="1" customWidth="1"/>
    <col min="22" max="22" width="12.5703125" bestFit="1" customWidth="1"/>
    <col min="23" max="23" width="11" bestFit="1" customWidth="1"/>
    <col min="24" max="24" width="18" bestFit="1" customWidth="1"/>
    <col min="25" max="25" width="13.42578125" bestFit="1" customWidth="1"/>
    <col min="26" max="26" width="49.5703125" bestFit="1" customWidth="1"/>
    <col min="27" max="27" width="22.42578125" bestFit="1" customWidth="1"/>
    <col min="28" max="28" width="11.28515625" bestFit="1" customWidth="1"/>
    <col min="29" max="29" width="16.42578125" bestFit="1" customWidth="1"/>
    <col min="30" max="30" width="45.5703125" bestFit="1" customWidth="1"/>
    <col min="31" max="31" width="15.85546875" bestFit="1" customWidth="1"/>
    <col min="32" max="32" width="22.5703125" bestFit="1" customWidth="1"/>
    <col min="33" max="33" width="51.85546875" bestFit="1" customWidth="1"/>
    <col min="34" max="34" width="16.42578125" bestFit="1" customWidth="1"/>
  </cols>
  <sheetData>
    <row r="1" spans="1:34" x14ac:dyDescent="0.25">
      <c r="A1" s="2" t="s">
        <v>439</v>
      </c>
    </row>
    <row r="3" spans="1:34" x14ac:dyDescent="0.25">
      <c r="A3" t="s">
        <v>438</v>
      </c>
      <c r="B3" t="s">
        <v>437</v>
      </c>
      <c r="C3" t="s">
        <v>436</v>
      </c>
      <c r="D3" t="s">
        <v>435</v>
      </c>
      <c r="E3" t="s">
        <v>434</v>
      </c>
      <c r="F3" t="s">
        <v>433</v>
      </c>
      <c r="G3" t="s">
        <v>432</v>
      </c>
      <c r="H3" t="s">
        <v>431</v>
      </c>
      <c r="I3" t="s">
        <v>430</v>
      </c>
      <c r="J3" t="s">
        <v>429</v>
      </c>
      <c r="K3" t="s">
        <v>428</v>
      </c>
      <c r="L3" t="s">
        <v>427</v>
      </c>
      <c r="M3" t="s">
        <v>426</v>
      </c>
      <c r="N3" t="s">
        <v>425</v>
      </c>
      <c r="O3" t="s">
        <v>424</v>
      </c>
      <c r="P3" t="s">
        <v>423</v>
      </c>
      <c r="Q3" t="s">
        <v>422</v>
      </c>
      <c r="R3" t="s">
        <v>421</v>
      </c>
      <c r="S3" t="s">
        <v>420</v>
      </c>
      <c r="T3" t="s">
        <v>419</v>
      </c>
      <c r="U3" s="3" t="s">
        <v>418</v>
      </c>
      <c r="V3" t="s">
        <v>417</v>
      </c>
      <c r="W3" t="s">
        <v>416</v>
      </c>
      <c r="X3" t="s">
        <v>415</v>
      </c>
      <c r="Y3" t="s">
        <v>414</v>
      </c>
      <c r="Z3" t="s">
        <v>413</v>
      </c>
      <c r="AA3" t="s">
        <v>412</v>
      </c>
      <c r="AB3" t="s">
        <v>411</v>
      </c>
      <c r="AC3" t="s">
        <v>410</v>
      </c>
      <c r="AD3" t="s">
        <v>409</v>
      </c>
      <c r="AE3" t="s">
        <v>408</v>
      </c>
      <c r="AF3" t="s">
        <v>407</v>
      </c>
      <c r="AG3" t="s">
        <v>406</v>
      </c>
      <c r="AH3" t="s">
        <v>405</v>
      </c>
    </row>
    <row r="4" spans="1:34" x14ac:dyDescent="0.25">
      <c r="A4">
        <v>3613</v>
      </c>
      <c r="B4" t="s">
        <v>27</v>
      </c>
      <c r="C4" t="s">
        <v>404</v>
      </c>
      <c r="D4" t="s">
        <v>13</v>
      </c>
      <c r="E4">
        <v>36</v>
      </c>
      <c r="F4" t="s">
        <v>403</v>
      </c>
      <c r="G4">
        <v>1000036138</v>
      </c>
      <c r="H4" t="s">
        <v>11</v>
      </c>
      <c r="I4" s="1">
        <v>46118</v>
      </c>
      <c r="J4" s="1">
        <v>44671</v>
      </c>
      <c r="K4" t="s">
        <v>10</v>
      </c>
      <c r="L4">
        <v>45</v>
      </c>
      <c r="M4">
        <v>48</v>
      </c>
      <c r="N4" s="1">
        <v>46112</v>
      </c>
      <c r="O4" t="s">
        <v>115</v>
      </c>
      <c r="P4">
        <v>2</v>
      </c>
      <c r="Q4">
        <v>37</v>
      </c>
      <c r="R4">
        <v>8662</v>
      </c>
      <c r="S4">
        <v>21559</v>
      </c>
      <c r="T4">
        <v>239544</v>
      </c>
      <c r="U4" s="3">
        <v>509309</v>
      </c>
      <c r="V4">
        <v>239545</v>
      </c>
      <c r="W4">
        <v>0</v>
      </c>
      <c r="X4">
        <v>7733233</v>
      </c>
      <c r="Y4">
        <v>56942017794</v>
      </c>
      <c r="Z4" t="s">
        <v>402</v>
      </c>
      <c r="AA4" t="s">
        <v>22</v>
      </c>
      <c r="AB4" t="s">
        <v>125</v>
      </c>
      <c r="AC4" t="s">
        <v>124</v>
      </c>
      <c r="AD4" t="s">
        <v>401</v>
      </c>
      <c r="AE4" t="s">
        <v>4</v>
      </c>
      <c r="AF4" t="s">
        <v>400</v>
      </c>
      <c r="AG4" t="s">
        <v>192</v>
      </c>
      <c r="AH4" t="s">
        <v>0</v>
      </c>
    </row>
    <row r="5" spans="1:34" x14ac:dyDescent="0.25">
      <c r="A5">
        <v>5240</v>
      </c>
      <c r="B5" t="s">
        <v>27</v>
      </c>
      <c r="C5" t="s">
        <v>399</v>
      </c>
      <c r="D5" t="s">
        <v>13</v>
      </c>
      <c r="E5">
        <v>39</v>
      </c>
      <c r="F5" t="s">
        <v>398</v>
      </c>
      <c r="G5">
        <v>1000052400</v>
      </c>
      <c r="H5" t="s">
        <v>11</v>
      </c>
      <c r="I5" s="1">
        <v>46118</v>
      </c>
      <c r="J5" s="1">
        <v>44771</v>
      </c>
      <c r="K5" t="s">
        <v>10</v>
      </c>
      <c r="L5">
        <v>42</v>
      </c>
      <c r="M5">
        <v>48</v>
      </c>
      <c r="N5" s="1">
        <v>46080</v>
      </c>
      <c r="O5" t="s">
        <v>115</v>
      </c>
      <c r="P5">
        <v>2</v>
      </c>
      <c r="Q5">
        <v>37</v>
      </c>
      <c r="R5">
        <v>9368</v>
      </c>
      <c r="S5">
        <v>35142</v>
      </c>
      <c r="T5">
        <v>195232</v>
      </c>
      <c r="U5" s="3">
        <v>434974</v>
      </c>
      <c r="V5">
        <v>195232</v>
      </c>
      <c r="W5">
        <v>559618</v>
      </c>
      <c r="X5">
        <v>6144625</v>
      </c>
      <c r="Y5">
        <v>56930687367</v>
      </c>
      <c r="Z5" t="s">
        <v>397</v>
      </c>
      <c r="AA5" t="s">
        <v>22</v>
      </c>
      <c r="AB5" t="s">
        <v>21</v>
      </c>
      <c r="AC5" t="s">
        <v>84</v>
      </c>
      <c r="AD5" t="s">
        <v>396</v>
      </c>
      <c r="AE5" t="s">
        <v>4</v>
      </c>
      <c r="AF5" t="s">
        <v>18</v>
      </c>
      <c r="AG5" t="s">
        <v>395</v>
      </c>
      <c r="AH5" t="s">
        <v>0</v>
      </c>
    </row>
    <row r="6" spans="1:34" x14ac:dyDescent="0.25">
      <c r="A6">
        <v>7096</v>
      </c>
      <c r="B6" t="s">
        <v>27</v>
      </c>
      <c r="C6" t="s">
        <v>394</v>
      </c>
      <c r="D6" t="s">
        <v>25</v>
      </c>
      <c r="E6">
        <v>36</v>
      </c>
      <c r="F6" t="s">
        <v>393</v>
      </c>
      <c r="G6">
        <v>1000070964</v>
      </c>
      <c r="H6" t="s">
        <v>11</v>
      </c>
      <c r="I6" s="1">
        <v>46118</v>
      </c>
      <c r="J6" s="1">
        <v>44895</v>
      </c>
      <c r="K6" t="s">
        <v>10</v>
      </c>
      <c r="L6">
        <v>38</v>
      </c>
      <c r="M6">
        <v>60</v>
      </c>
      <c r="N6" s="1">
        <v>46104</v>
      </c>
      <c r="O6" t="s">
        <v>115</v>
      </c>
      <c r="P6">
        <v>2</v>
      </c>
      <c r="Q6">
        <v>37</v>
      </c>
      <c r="R6">
        <v>8935</v>
      </c>
      <c r="S6">
        <v>22242</v>
      </c>
      <c r="T6">
        <v>247132</v>
      </c>
      <c r="U6" s="3">
        <v>525441</v>
      </c>
      <c r="V6">
        <v>247132</v>
      </c>
      <c r="W6">
        <v>3865786</v>
      </c>
      <c r="X6">
        <v>8741233</v>
      </c>
      <c r="Y6">
        <v>56984965331</v>
      </c>
      <c r="Z6" t="s">
        <v>392</v>
      </c>
      <c r="AA6" t="s">
        <v>22</v>
      </c>
      <c r="AB6" t="s">
        <v>21</v>
      </c>
      <c r="AC6" t="s">
        <v>227</v>
      </c>
      <c r="AD6" t="s">
        <v>391</v>
      </c>
      <c r="AE6" t="s">
        <v>4</v>
      </c>
      <c r="AF6" t="s">
        <v>292</v>
      </c>
      <c r="AG6" t="s">
        <v>116</v>
      </c>
      <c r="AH6" t="s">
        <v>0</v>
      </c>
    </row>
    <row r="7" spans="1:34" x14ac:dyDescent="0.25">
      <c r="A7">
        <v>8934</v>
      </c>
      <c r="B7" t="s">
        <v>27</v>
      </c>
      <c r="C7" t="s">
        <v>390</v>
      </c>
      <c r="D7" t="s">
        <v>47</v>
      </c>
      <c r="F7" t="s">
        <v>389</v>
      </c>
      <c r="G7">
        <v>1000089347</v>
      </c>
      <c r="H7" t="s">
        <v>11</v>
      </c>
      <c r="I7" s="1">
        <v>46118</v>
      </c>
      <c r="J7" s="1">
        <v>45008</v>
      </c>
      <c r="K7" t="s">
        <v>10</v>
      </c>
      <c r="L7">
        <v>34</v>
      </c>
      <c r="M7">
        <v>48</v>
      </c>
      <c r="N7" s="1">
        <v>46104</v>
      </c>
      <c r="O7" t="s">
        <v>115</v>
      </c>
      <c r="P7">
        <v>2</v>
      </c>
      <c r="Q7">
        <v>37</v>
      </c>
      <c r="R7">
        <v>24069</v>
      </c>
      <c r="S7">
        <v>51897</v>
      </c>
      <c r="T7">
        <v>665749</v>
      </c>
      <c r="U7" s="3">
        <v>1407464</v>
      </c>
      <c r="V7">
        <v>665749</v>
      </c>
      <c r="W7">
        <v>6606056</v>
      </c>
      <c r="X7">
        <v>21675596</v>
      </c>
      <c r="Y7">
        <v>56992113114</v>
      </c>
      <c r="Z7" t="s">
        <v>388</v>
      </c>
      <c r="AA7" t="s">
        <v>22</v>
      </c>
      <c r="AB7" t="s">
        <v>125</v>
      </c>
      <c r="AC7" t="s">
        <v>387</v>
      </c>
      <c r="AD7" t="s">
        <v>386</v>
      </c>
      <c r="AE7" t="s">
        <v>4</v>
      </c>
      <c r="AF7" t="s">
        <v>103</v>
      </c>
      <c r="AG7" t="s">
        <v>385</v>
      </c>
      <c r="AH7" t="s">
        <v>0</v>
      </c>
    </row>
    <row r="8" spans="1:34" x14ac:dyDescent="0.25">
      <c r="A8">
        <v>9134</v>
      </c>
      <c r="B8" t="s">
        <v>27</v>
      </c>
      <c r="C8" t="s">
        <v>384</v>
      </c>
      <c r="D8" t="s">
        <v>47</v>
      </c>
      <c r="F8" t="s">
        <v>383</v>
      </c>
      <c r="G8">
        <v>1000091341</v>
      </c>
      <c r="H8" t="s">
        <v>11</v>
      </c>
      <c r="I8" s="1">
        <v>46118</v>
      </c>
      <c r="J8" s="1">
        <v>45021</v>
      </c>
      <c r="K8" t="s">
        <v>10</v>
      </c>
      <c r="L8">
        <v>33</v>
      </c>
      <c r="M8">
        <v>36</v>
      </c>
      <c r="N8" s="1">
        <v>46069</v>
      </c>
      <c r="O8" t="s">
        <v>115</v>
      </c>
      <c r="P8">
        <v>2</v>
      </c>
      <c r="Q8">
        <v>37</v>
      </c>
      <c r="R8">
        <v>9360</v>
      </c>
      <c r="S8">
        <v>43804</v>
      </c>
      <c r="T8">
        <v>530850</v>
      </c>
      <c r="U8" s="3">
        <v>1114864</v>
      </c>
      <c r="V8">
        <v>530833</v>
      </c>
      <c r="W8">
        <v>0</v>
      </c>
      <c r="X8">
        <v>14036972</v>
      </c>
      <c r="Y8">
        <v>56991593004</v>
      </c>
      <c r="Z8" t="s">
        <v>382</v>
      </c>
      <c r="AA8" t="s">
        <v>22</v>
      </c>
      <c r="AB8" t="s">
        <v>21</v>
      </c>
      <c r="AC8" t="s">
        <v>84</v>
      </c>
      <c r="AD8" t="s">
        <v>381</v>
      </c>
      <c r="AE8" t="s">
        <v>97</v>
      </c>
      <c r="AF8" t="s">
        <v>380</v>
      </c>
      <c r="AG8" t="s">
        <v>210</v>
      </c>
      <c r="AH8" t="s">
        <v>0</v>
      </c>
    </row>
    <row r="9" spans="1:34" x14ac:dyDescent="0.25">
      <c r="A9">
        <v>10209</v>
      </c>
      <c r="B9" t="s">
        <v>27</v>
      </c>
      <c r="C9" t="s">
        <v>379</v>
      </c>
      <c r="D9" t="s">
        <v>13</v>
      </c>
      <c r="E9">
        <v>64</v>
      </c>
      <c r="F9" t="s">
        <v>378</v>
      </c>
      <c r="G9">
        <v>1000102092</v>
      </c>
      <c r="H9" t="s">
        <v>11</v>
      </c>
      <c r="I9" s="1">
        <v>46118</v>
      </c>
      <c r="J9" s="1">
        <v>45076</v>
      </c>
      <c r="K9" t="s">
        <v>10</v>
      </c>
      <c r="L9">
        <v>32</v>
      </c>
      <c r="M9">
        <v>36</v>
      </c>
      <c r="N9" s="1">
        <v>46081</v>
      </c>
      <c r="O9" t="s">
        <v>115</v>
      </c>
      <c r="P9">
        <v>2</v>
      </c>
      <c r="Q9">
        <v>37</v>
      </c>
      <c r="R9">
        <v>22908</v>
      </c>
      <c r="S9">
        <v>126020</v>
      </c>
      <c r="T9">
        <v>851157</v>
      </c>
      <c r="U9" s="3">
        <v>1851242</v>
      </c>
      <c r="V9">
        <v>851157</v>
      </c>
      <c r="W9">
        <v>820597</v>
      </c>
      <c r="X9">
        <v>22504172</v>
      </c>
      <c r="Y9">
        <v>56998245766</v>
      </c>
      <c r="Z9" t="s">
        <v>377</v>
      </c>
      <c r="AA9" t="s">
        <v>22</v>
      </c>
      <c r="AB9" t="s">
        <v>21</v>
      </c>
      <c r="AC9" t="s">
        <v>365</v>
      </c>
      <c r="AD9" t="s">
        <v>376</v>
      </c>
      <c r="AE9" t="s">
        <v>60</v>
      </c>
      <c r="AF9" t="s">
        <v>375</v>
      </c>
      <c r="AG9" t="s">
        <v>374</v>
      </c>
      <c r="AH9" t="s">
        <v>0</v>
      </c>
    </row>
    <row r="10" spans="1:34" x14ac:dyDescent="0.25">
      <c r="A10">
        <v>11348</v>
      </c>
      <c r="B10" t="s">
        <v>27</v>
      </c>
      <c r="C10" t="s">
        <v>373</v>
      </c>
      <c r="D10" t="s">
        <v>25</v>
      </c>
      <c r="E10">
        <v>45</v>
      </c>
      <c r="F10" t="s">
        <v>372</v>
      </c>
      <c r="G10">
        <v>1000113485</v>
      </c>
      <c r="H10" t="s">
        <v>11</v>
      </c>
      <c r="I10" s="1">
        <v>46118</v>
      </c>
      <c r="J10" s="1">
        <v>45138</v>
      </c>
      <c r="K10" t="s">
        <v>10</v>
      </c>
      <c r="L10">
        <v>30</v>
      </c>
      <c r="M10">
        <v>48</v>
      </c>
      <c r="N10" s="1">
        <v>46063</v>
      </c>
      <c r="O10" t="s">
        <v>115</v>
      </c>
      <c r="P10">
        <v>2</v>
      </c>
      <c r="Q10">
        <v>37</v>
      </c>
      <c r="R10">
        <v>5970</v>
      </c>
      <c r="S10">
        <v>30467</v>
      </c>
      <c r="T10">
        <v>338521</v>
      </c>
      <c r="U10" s="3">
        <v>713479</v>
      </c>
      <c r="V10">
        <v>338521</v>
      </c>
      <c r="W10">
        <v>4287578</v>
      </c>
      <c r="X10">
        <v>10404664</v>
      </c>
      <c r="Y10">
        <v>56977806890</v>
      </c>
      <c r="Z10" t="s">
        <v>371</v>
      </c>
      <c r="AA10" t="s">
        <v>249</v>
      </c>
      <c r="AB10" t="s">
        <v>248</v>
      </c>
      <c r="AC10" t="s">
        <v>370</v>
      </c>
      <c r="AD10" t="s">
        <v>369</v>
      </c>
      <c r="AE10" t="s">
        <v>4</v>
      </c>
      <c r="AF10" t="s">
        <v>82</v>
      </c>
      <c r="AG10" t="s">
        <v>2</v>
      </c>
      <c r="AH10" t="s">
        <v>0</v>
      </c>
    </row>
    <row r="11" spans="1:34" x14ac:dyDescent="0.25">
      <c r="A11">
        <v>12846</v>
      </c>
      <c r="B11" t="s">
        <v>27</v>
      </c>
      <c r="C11" t="s">
        <v>368</v>
      </c>
      <c r="D11" t="s">
        <v>25</v>
      </c>
      <c r="E11">
        <v>43</v>
      </c>
      <c r="F11" t="s">
        <v>367</v>
      </c>
      <c r="G11">
        <v>1000128466</v>
      </c>
      <c r="H11" t="s">
        <v>11</v>
      </c>
      <c r="I11" s="1">
        <v>46118</v>
      </c>
      <c r="J11" s="1">
        <v>45169</v>
      </c>
      <c r="K11" t="s">
        <v>10</v>
      </c>
      <c r="L11">
        <v>29</v>
      </c>
      <c r="M11">
        <v>60</v>
      </c>
      <c r="N11" s="1">
        <v>46077</v>
      </c>
      <c r="O11" t="s">
        <v>115</v>
      </c>
      <c r="P11">
        <v>2</v>
      </c>
      <c r="Q11">
        <v>37</v>
      </c>
      <c r="R11">
        <v>13741</v>
      </c>
      <c r="S11">
        <v>85148</v>
      </c>
      <c r="T11">
        <v>510553</v>
      </c>
      <c r="U11" s="3">
        <v>1119995</v>
      </c>
      <c r="V11">
        <v>510553</v>
      </c>
      <c r="W11">
        <v>10923961</v>
      </c>
      <c r="X11">
        <v>18059280</v>
      </c>
      <c r="Y11">
        <v>56956351413</v>
      </c>
      <c r="Z11" t="s">
        <v>366</v>
      </c>
      <c r="AA11" t="s">
        <v>22</v>
      </c>
      <c r="AB11" t="s">
        <v>21</v>
      </c>
      <c r="AC11" t="s">
        <v>365</v>
      </c>
      <c r="AD11" t="s">
        <v>364</v>
      </c>
      <c r="AE11" t="s">
        <v>60</v>
      </c>
      <c r="AF11" t="s">
        <v>363</v>
      </c>
      <c r="AG11" t="s">
        <v>362</v>
      </c>
      <c r="AH11" t="s">
        <v>0</v>
      </c>
    </row>
    <row r="12" spans="1:34" x14ac:dyDescent="0.25">
      <c r="A12">
        <v>13556</v>
      </c>
      <c r="B12" t="s">
        <v>27</v>
      </c>
      <c r="C12" t="s">
        <v>361</v>
      </c>
      <c r="D12" t="s">
        <v>13</v>
      </c>
      <c r="E12">
        <v>32</v>
      </c>
      <c r="F12" t="s">
        <v>360</v>
      </c>
      <c r="G12">
        <v>1000135560</v>
      </c>
      <c r="H12" t="s">
        <v>34</v>
      </c>
      <c r="I12" s="1">
        <v>46118</v>
      </c>
      <c r="J12" s="1">
        <v>45197</v>
      </c>
      <c r="K12" t="s">
        <v>10</v>
      </c>
      <c r="L12">
        <v>28</v>
      </c>
      <c r="M12">
        <v>49</v>
      </c>
      <c r="N12" s="1">
        <v>46104</v>
      </c>
      <c r="O12" t="s">
        <v>115</v>
      </c>
      <c r="P12">
        <v>2</v>
      </c>
      <c r="Q12">
        <v>37</v>
      </c>
      <c r="R12">
        <v>14554</v>
      </c>
      <c r="S12">
        <v>22530</v>
      </c>
      <c r="T12">
        <v>250337</v>
      </c>
      <c r="U12" s="3">
        <v>537758</v>
      </c>
      <c r="V12">
        <v>250337</v>
      </c>
      <c r="W12">
        <v>7643685</v>
      </c>
      <c r="X12">
        <v>10046184</v>
      </c>
      <c r="Y12">
        <v>56933969018</v>
      </c>
      <c r="Z12" t="s">
        <v>359</v>
      </c>
      <c r="AA12" t="s">
        <v>22</v>
      </c>
      <c r="AB12" t="s">
        <v>222</v>
      </c>
      <c r="AC12" t="s">
        <v>221</v>
      </c>
      <c r="AD12" t="s">
        <v>358</v>
      </c>
      <c r="AE12" t="s">
        <v>4</v>
      </c>
      <c r="AF12" t="s">
        <v>50</v>
      </c>
      <c r="AG12" t="s">
        <v>192</v>
      </c>
      <c r="AH12" t="s">
        <v>0</v>
      </c>
    </row>
    <row r="13" spans="1:34" x14ac:dyDescent="0.25">
      <c r="A13">
        <v>13860</v>
      </c>
      <c r="B13" t="s">
        <v>27</v>
      </c>
      <c r="C13" t="s">
        <v>357</v>
      </c>
      <c r="D13" t="s">
        <v>13</v>
      </c>
      <c r="E13">
        <v>64</v>
      </c>
      <c r="F13" t="s">
        <v>356</v>
      </c>
      <c r="G13">
        <v>1000138607</v>
      </c>
      <c r="H13" t="s">
        <v>11</v>
      </c>
      <c r="I13" s="1">
        <v>46118</v>
      </c>
      <c r="J13" s="1">
        <v>45218</v>
      </c>
      <c r="K13" t="s">
        <v>10</v>
      </c>
      <c r="L13">
        <v>27</v>
      </c>
      <c r="M13">
        <v>36</v>
      </c>
      <c r="N13" s="1">
        <v>46077</v>
      </c>
      <c r="O13" t="s">
        <v>115</v>
      </c>
      <c r="P13">
        <v>2</v>
      </c>
      <c r="Q13">
        <v>37</v>
      </c>
      <c r="R13">
        <v>4722</v>
      </c>
      <c r="S13">
        <v>30002</v>
      </c>
      <c r="T13">
        <v>333350</v>
      </c>
      <c r="U13" s="3">
        <v>701424</v>
      </c>
      <c r="V13">
        <v>333350</v>
      </c>
      <c r="W13">
        <v>1784959</v>
      </c>
      <c r="X13">
        <v>8231784</v>
      </c>
      <c r="Y13">
        <v>56997888524</v>
      </c>
      <c r="Z13" t="s">
        <v>355</v>
      </c>
      <c r="AA13" t="s">
        <v>54</v>
      </c>
      <c r="AB13" t="s">
        <v>53</v>
      </c>
      <c r="AC13" t="s">
        <v>159</v>
      </c>
      <c r="AD13" t="s">
        <v>354</v>
      </c>
      <c r="AE13" t="s">
        <v>4</v>
      </c>
      <c r="AF13" t="s">
        <v>353</v>
      </c>
      <c r="AG13" t="s">
        <v>210</v>
      </c>
      <c r="AH13" t="s">
        <v>0</v>
      </c>
    </row>
    <row r="14" spans="1:34" x14ac:dyDescent="0.25">
      <c r="A14">
        <v>14243</v>
      </c>
      <c r="B14" t="s">
        <v>27</v>
      </c>
      <c r="C14" t="s">
        <v>352</v>
      </c>
      <c r="D14" t="s">
        <v>25</v>
      </c>
      <c r="E14">
        <v>57</v>
      </c>
      <c r="F14" t="s">
        <v>351</v>
      </c>
      <c r="G14">
        <v>1000142434</v>
      </c>
      <c r="H14" t="s">
        <v>11</v>
      </c>
      <c r="I14" s="1">
        <v>46118</v>
      </c>
      <c r="J14" s="1">
        <v>45236</v>
      </c>
      <c r="K14" t="s">
        <v>10</v>
      </c>
      <c r="L14">
        <v>26</v>
      </c>
      <c r="M14">
        <v>60</v>
      </c>
      <c r="N14" s="1">
        <v>46111</v>
      </c>
      <c r="O14" t="s">
        <v>115</v>
      </c>
      <c r="P14">
        <v>2</v>
      </c>
      <c r="Q14">
        <v>37</v>
      </c>
      <c r="R14">
        <v>9959</v>
      </c>
      <c r="S14">
        <v>24791</v>
      </c>
      <c r="T14">
        <v>275460</v>
      </c>
      <c r="U14" s="3">
        <v>585670</v>
      </c>
      <c r="V14">
        <v>275460</v>
      </c>
      <c r="W14">
        <v>6193686</v>
      </c>
      <c r="X14">
        <v>9480509</v>
      </c>
      <c r="Y14">
        <v>56962375086</v>
      </c>
      <c r="Z14" t="s">
        <v>350</v>
      </c>
      <c r="AA14" t="s">
        <v>22</v>
      </c>
      <c r="AB14" t="s">
        <v>21</v>
      </c>
      <c r="AC14" t="s">
        <v>212</v>
      </c>
      <c r="AD14" t="s">
        <v>349</v>
      </c>
      <c r="AE14" t="s">
        <v>4</v>
      </c>
      <c r="AF14" t="s">
        <v>163</v>
      </c>
      <c r="AG14" t="s">
        <v>348</v>
      </c>
      <c r="AH14" t="s">
        <v>0</v>
      </c>
    </row>
    <row r="15" spans="1:34" x14ac:dyDescent="0.25">
      <c r="A15">
        <v>14762</v>
      </c>
      <c r="B15" t="s">
        <v>27</v>
      </c>
      <c r="C15" t="s">
        <v>347</v>
      </c>
      <c r="D15" t="s">
        <v>25</v>
      </c>
      <c r="E15">
        <v>63</v>
      </c>
      <c r="F15" t="s">
        <v>346</v>
      </c>
      <c r="G15">
        <v>1000147622</v>
      </c>
      <c r="H15" t="s">
        <v>11</v>
      </c>
      <c r="I15" s="1">
        <v>46118</v>
      </c>
      <c r="J15" s="1">
        <v>45254</v>
      </c>
      <c r="K15" t="s">
        <v>10</v>
      </c>
      <c r="L15">
        <v>26</v>
      </c>
      <c r="M15">
        <v>59</v>
      </c>
      <c r="N15" s="1">
        <v>46112</v>
      </c>
      <c r="O15" t="s">
        <v>115</v>
      </c>
      <c r="P15">
        <v>2</v>
      </c>
      <c r="Q15">
        <v>37</v>
      </c>
      <c r="R15">
        <v>18425</v>
      </c>
      <c r="S15">
        <v>28523</v>
      </c>
      <c r="T15">
        <v>316920</v>
      </c>
      <c r="U15" s="3">
        <v>680788</v>
      </c>
      <c r="V15">
        <v>316920</v>
      </c>
      <c r="W15">
        <v>7069532</v>
      </c>
      <c r="X15">
        <v>11069823</v>
      </c>
      <c r="Y15">
        <v>56995797901</v>
      </c>
      <c r="Z15" t="s">
        <v>345</v>
      </c>
      <c r="AA15" t="s">
        <v>22</v>
      </c>
      <c r="AB15" t="s">
        <v>344</v>
      </c>
      <c r="AC15" t="s">
        <v>344</v>
      </c>
      <c r="AD15" t="s">
        <v>343</v>
      </c>
      <c r="AE15" t="s">
        <v>4</v>
      </c>
      <c r="AF15" t="s">
        <v>135</v>
      </c>
      <c r="AG15" t="s">
        <v>58</v>
      </c>
      <c r="AH15" t="s">
        <v>0</v>
      </c>
    </row>
    <row r="16" spans="1:34" x14ac:dyDescent="0.25">
      <c r="A16">
        <v>14970</v>
      </c>
      <c r="B16" t="s">
        <v>27</v>
      </c>
      <c r="C16" t="s">
        <v>342</v>
      </c>
      <c r="D16" t="s">
        <v>13</v>
      </c>
      <c r="E16">
        <v>33</v>
      </c>
      <c r="F16" t="s">
        <v>341</v>
      </c>
      <c r="G16">
        <v>1000149706</v>
      </c>
      <c r="H16" t="s">
        <v>34</v>
      </c>
      <c r="I16" s="1">
        <v>46118</v>
      </c>
      <c r="J16" s="1">
        <v>45260</v>
      </c>
      <c r="K16" t="s">
        <v>45</v>
      </c>
      <c r="L16">
        <v>26</v>
      </c>
      <c r="M16">
        <v>37</v>
      </c>
      <c r="N16" s="1">
        <v>46065</v>
      </c>
      <c r="O16" t="s">
        <v>115</v>
      </c>
      <c r="P16">
        <v>2</v>
      </c>
      <c r="Q16">
        <v>37</v>
      </c>
      <c r="R16">
        <v>6217</v>
      </c>
      <c r="S16">
        <v>31730</v>
      </c>
      <c r="T16">
        <v>352556</v>
      </c>
      <c r="U16" s="3">
        <v>743059</v>
      </c>
      <c r="V16">
        <v>352556</v>
      </c>
      <c r="W16">
        <v>7375868</v>
      </c>
      <c r="X16">
        <v>12111389</v>
      </c>
      <c r="Y16">
        <v>56938851953</v>
      </c>
      <c r="Z16" t="s">
        <v>340</v>
      </c>
      <c r="AA16" t="s">
        <v>43</v>
      </c>
      <c r="AB16" t="s">
        <v>42</v>
      </c>
      <c r="AC16" t="s">
        <v>41</v>
      </c>
      <c r="AD16" t="s">
        <v>339</v>
      </c>
      <c r="AE16" t="s">
        <v>4</v>
      </c>
      <c r="AF16" t="s">
        <v>177</v>
      </c>
      <c r="AG16" t="s">
        <v>102</v>
      </c>
      <c r="AH16" t="s">
        <v>0</v>
      </c>
    </row>
    <row r="17" spans="1:34" x14ac:dyDescent="0.25">
      <c r="A17">
        <v>15877</v>
      </c>
      <c r="B17" t="s">
        <v>27</v>
      </c>
      <c r="C17" t="s">
        <v>338</v>
      </c>
      <c r="D17" t="s">
        <v>13</v>
      </c>
      <c r="E17">
        <v>35</v>
      </c>
      <c r="F17" t="s">
        <v>337</v>
      </c>
      <c r="G17">
        <v>1000158772</v>
      </c>
      <c r="H17" t="s">
        <v>34</v>
      </c>
      <c r="I17" s="1">
        <v>46118</v>
      </c>
      <c r="J17" s="1">
        <v>45308</v>
      </c>
      <c r="K17" t="s">
        <v>10</v>
      </c>
      <c r="L17">
        <v>24</v>
      </c>
      <c r="M17">
        <v>37</v>
      </c>
      <c r="N17" s="1">
        <v>46028</v>
      </c>
      <c r="O17" t="s">
        <v>115</v>
      </c>
      <c r="P17">
        <v>2</v>
      </c>
      <c r="Q17">
        <v>37</v>
      </c>
      <c r="R17">
        <v>6965</v>
      </c>
      <c r="S17">
        <v>41457</v>
      </c>
      <c r="T17">
        <v>491737</v>
      </c>
      <c r="U17" s="3">
        <v>1031896</v>
      </c>
      <c r="V17">
        <v>491737</v>
      </c>
      <c r="W17">
        <v>11922940</v>
      </c>
      <c r="X17">
        <v>17794450</v>
      </c>
      <c r="Y17">
        <v>56991629926</v>
      </c>
      <c r="Z17" t="s">
        <v>336</v>
      </c>
      <c r="AA17" t="s">
        <v>22</v>
      </c>
      <c r="AB17" t="s">
        <v>21</v>
      </c>
      <c r="AC17" t="s">
        <v>212</v>
      </c>
      <c r="AD17" t="s">
        <v>335</v>
      </c>
      <c r="AE17" t="s">
        <v>4</v>
      </c>
      <c r="AF17" t="s">
        <v>170</v>
      </c>
      <c r="AG17" t="s">
        <v>278</v>
      </c>
      <c r="AH17" t="s">
        <v>0</v>
      </c>
    </row>
    <row r="18" spans="1:34" x14ac:dyDescent="0.25">
      <c r="A18">
        <v>16473</v>
      </c>
      <c r="B18" t="s">
        <v>27</v>
      </c>
      <c r="C18" t="s">
        <v>334</v>
      </c>
      <c r="D18" t="s">
        <v>25</v>
      </c>
      <c r="E18">
        <v>51</v>
      </c>
      <c r="F18" t="s">
        <v>333</v>
      </c>
      <c r="G18">
        <v>1000164730</v>
      </c>
      <c r="H18" t="s">
        <v>11</v>
      </c>
      <c r="I18" s="1">
        <v>46118</v>
      </c>
      <c r="J18" s="1">
        <v>45342</v>
      </c>
      <c r="K18" t="s">
        <v>10</v>
      </c>
      <c r="L18">
        <v>23</v>
      </c>
      <c r="M18">
        <v>48</v>
      </c>
      <c r="N18" s="1">
        <v>46057</v>
      </c>
      <c r="O18" t="s">
        <v>115</v>
      </c>
      <c r="P18">
        <v>2</v>
      </c>
      <c r="Q18">
        <v>37</v>
      </c>
      <c r="R18">
        <v>4442</v>
      </c>
      <c r="S18">
        <v>28223</v>
      </c>
      <c r="T18">
        <v>313588</v>
      </c>
      <c r="U18" s="3">
        <v>659841</v>
      </c>
      <c r="V18">
        <v>313588</v>
      </c>
      <c r="W18">
        <v>5473610</v>
      </c>
      <c r="X18">
        <v>9604450</v>
      </c>
      <c r="Y18">
        <v>56974069125</v>
      </c>
      <c r="Z18" t="s">
        <v>332</v>
      </c>
      <c r="AA18" t="s">
        <v>91</v>
      </c>
      <c r="AB18" t="s">
        <v>91</v>
      </c>
      <c r="AC18" t="s">
        <v>91</v>
      </c>
      <c r="AD18" t="s">
        <v>331</v>
      </c>
      <c r="AE18" t="s">
        <v>4</v>
      </c>
      <c r="AF18" t="s">
        <v>82</v>
      </c>
      <c r="AG18" t="s">
        <v>88</v>
      </c>
      <c r="AH18" t="s">
        <v>0</v>
      </c>
    </row>
    <row r="19" spans="1:34" x14ac:dyDescent="0.25">
      <c r="A19">
        <v>16727</v>
      </c>
      <c r="B19" t="s">
        <v>27</v>
      </c>
      <c r="C19" t="s">
        <v>330</v>
      </c>
      <c r="D19" t="s">
        <v>13</v>
      </c>
      <c r="E19">
        <v>57</v>
      </c>
      <c r="F19" t="s">
        <v>329</v>
      </c>
      <c r="G19">
        <v>1000167275</v>
      </c>
      <c r="H19" t="s">
        <v>11</v>
      </c>
      <c r="I19" s="1">
        <v>46118</v>
      </c>
      <c r="J19" s="1">
        <v>45350</v>
      </c>
      <c r="K19" t="s">
        <v>10</v>
      </c>
      <c r="L19">
        <v>23</v>
      </c>
      <c r="M19">
        <v>57</v>
      </c>
      <c r="N19" s="1">
        <v>46112</v>
      </c>
      <c r="O19" t="s">
        <v>115</v>
      </c>
      <c r="P19">
        <v>2</v>
      </c>
      <c r="Q19">
        <v>37</v>
      </c>
      <c r="R19">
        <v>10445</v>
      </c>
      <c r="S19">
        <v>16170</v>
      </c>
      <c r="T19">
        <v>179664</v>
      </c>
      <c r="U19" s="3">
        <v>385943</v>
      </c>
      <c r="V19">
        <v>179664</v>
      </c>
      <c r="W19">
        <v>3932829</v>
      </c>
      <c r="X19">
        <v>5713753</v>
      </c>
      <c r="Y19">
        <v>56982665762</v>
      </c>
      <c r="Z19" t="s">
        <v>328</v>
      </c>
      <c r="AA19" t="s">
        <v>22</v>
      </c>
      <c r="AB19" t="s">
        <v>125</v>
      </c>
      <c r="AC19" t="s">
        <v>124</v>
      </c>
      <c r="AD19" t="s">
        <v>327</v>
      </c>
      <c r="AE19" t="s">
        <v>4</v>
      </c>
      <c r="AF19" t="s">
        <v>18</v>
      </c>
      <c r="AG19" t="s">
        <v>58</v>
      </c>
      <c r="AH19" t="s">
        <v>0</v>
      </c>
    </row>
    <row r="20" spans="1:34" x14ac:dyDescent="0.25">
      <c r="A20">
        <v>18072</v>
      </c>
      <c r="B20" t="s">
        <v>27</v>
      </c>
      <c r="C20" t="s">
        <v>326</v>
      </c>
      <c r="D20" t="s">
        <v>13</v>
      </c>
      <c r="E20">
        <v>70</v>
      </c>
      <c r="F20" t="s">
        <v>325</v>
      </c>
      <c r="G20">
        <v>1000180727</v>
      </c>
      <c r="H20" t="s">
        <v>11</v>
      </c>
      <c r="I20" s="1">
        <v>46118</v>
      </c>
      <c r="J20" s="1">
        <v>45426</v>
      </c>
      <c r="K20" t="s">
        <v>10</v>
      </c>
      <c r="L20">
        <v>20</v>
      </c>
      <c r="M20">
        <v>36</v>
      </c>
      <c r="N20" s="1">
        <v>46055</v>
      </c>
      <c r="O20" t="s">
        <v>115</v>
      </c>
      <c r="P20">
        <v>2</v>
      </c>
      <c r="Q20">
        <v>37</v>
      </c>
      <c r="R20">
        <v>6375</v>
      </c>
      <c r="S20">
        <v>38954</v>
      </c>
      <c r="T20">
        <v>450030</v>
      </c>
      <c r="U20" s="3">
        <v>942233</v>
      </c>
      <c r="V20">
        <v>448452</v>
      </c>
      <c r="W20">
        <v>4759979</v>
      </c>
      <c r="X20">
        <v>10719811</v>
      </c>
      <c r="Y20">
        <v>56993114838</v>
      </c>
      <c r="Z20" t="s">
        <v>324</v>
      </c>
      <c r="AA20" t="s">
        <v>22</v>
      </c>
      <c r="AB20" t="s">
        <v>323</v>
      </c>
      <c r="AC20" t="s">
        <v>322</v>
      </c>
      <c r="AD20" t="s">
        <v>321</v>
      </c>
      <c r="AE20" t="s">
        <v>4</v>
      </c>
      <c r="AF20" t="s">
        <v>82</v>
      </c>
      <c r="AG20" t="s">
        <v>116</v>
      </c>
      <c r="AH20" t="s">
        <v>0</v>
      </c>
    </row>
    <row r="21" spans="1:34" x14ac:dyDescent="0.25">
      <c r="A21">
        <v>18311</v>
      </c>
      <c r="B21" t="s">
        <v>27</v>
      </c>
      <c r="C21" t="s">
        <v>320</v>
      </c>
      <c r="D21" t="s">
        <v>13</v>
      </c>
      <c r="E21">
        <v>41</v>
      </c>
      <c r="F21" t="s">
        <v>319</v>
      </c>
      <c r="G21">
        <v>1000183114</v>
      </c>
      <c r="H21" t="s">
        <v>11</v>
      </c>
      <c r="I21" s="1">
        <v>46118</v>
      </c>
      <c r="J21" s="1">
        <v>45435</v>
      </c>
      <c r="K21" t="s">
        <v>10</v>
      </c>
      <c r="L21">
        <v>20</v>
      </c>
      <c r="M21">
        <v>24</v>
      </c>
      <c r="N21" s="1">
        <v>46077</v>
      </c>
      <c r="O21" t="s">
        <v>115</v>
      </c>
      <c r="P21">
        <v>2</v>
      </c>
      <c r="Q21">
        <v>37</v>
      </c>
      <c r="R21">
        <v>12567</v>
      </c>
      <c r="S21">
        <v>47142</v>
      </c>
      <c r="T21">
        <v>261896</v>
      </c>
      <c r="U21" s="3">
        <v>583501</v>
      </c>
      <c r="V21">
        <v>261896</v>
      </c>
      <c r="W21">
        <v>254858</v>
      </c>
      <c r="X21">
        <v>4920424</v>
      </c>
      <c r="Y21">
        <v>56999691479</v>
      </c>
      <c r="Z21" t="s">
        <v>318</v>
      </c>
      <c r="AA21" t="s">
        <v>22</v>
      </c>
      <c r="AB21" t="s">
        <v>21</v>
      </c>
      <c r="AC21" t="s">
        <v>317</v>
      </c>
      <c r="AD21" t="s">
        <v>316</v>
      </c>
      <c r="AE21" t="s">
        <v>4</v>
      </c>
      <c r="AF21" t="s">
        <v>177</v>
      </c>
      <c r="AG21" t="s">
        <v>58</v>
      </c>
      <c r="AH21" t="s">
        <v>0</v>
      </c>
    </row>
    <row r="22" spans="1:34" x14ac:dyDescent="0.25">
      <c r="A22">
        <v>20229</v>
      </c>
      <c r="B22" t="s">
        <v>27</v>
      </c>
      <c r="C22" t="s">
        <v>315</v>
      </c>
      <c r="D22" t="s">
        <v>25</v>
      </c>
      <c r="E22">
        <v>37</v>
      </c>
      <c r="F22" t="s">
        <v>314</v>
      </c>
      <c r="G22">
        <v>1000202291</v>
      </c>
      <c r="H22" t="s">
        <v>11</v>
      </c>
      <c r="I22" s="1">
        <v>46118</v>
      </c>
      <c r="J22" s="1">
        <v>45532</v>
      </c>
      <c r="K22" t="s">
        <v>10</v>
      </c>
      <c r="L22">
        <v>17</v>
      </c>
      <c r="M22">
        <v>60</v>
      </c>
      <c r="N22" s="1">
        <v>46098</v>
      </c>
      <c r="O22" t="s">
        <v>115</v>
      </c>
      <c r="P22">
        <v>2</v>
      </c>
      <c r="Q22">
        <v>37</v>
      </c>
      <c r="R22">
        <v>11661</v>
      </c>
      <c r="S22">
        <v>38968</v>
      </c>
      <c r="T22">
        <v>450263</v>
      </c>
      <c r="U22" s="3">
        <v>951155</v>
      </c>
      <c r="V22">
        <v>450263</v>
      </c>
      <c r="W22">
        <v>12232371</v>
      </c>
      <c r="X22">
        <v>15554179</v>
      </c>
      <c r="Y22">
        <v>56973081672</v>
      </c>
      <c r="Z22" t="s">
        <v>313</v>
      </c>
      <c r="AA22" t="s">
        <v>22</v>
      </c>
      <c r="AB22" t="s">
        <v>222</v>
      </c>
      <c r="AC22" t="s">
        <v>221</v>
      </c>
      <c r="AD22" t="s">
        <v>312</v>
      </c>
      <c r="AE22" t="s">
        <v>4</v>
      </c>
      <c r="AF22" t="s">
        <v>50</v>
      </c>
      <c r="AG22" t="s">
        <v>210</v>
      </c>
      <c r="AH22" t="s">
        <v>0</v>
      </c>
    </row>
    <row r="23" spans="1:34" x14ac:dyDescent="0.25">
      <c r="A23">
        <v>21255</v>
      </c>
      <c r="B23" t="s">
        <v>27</v>
      </c>
      <c r="C23" t="s">
        <v>311</v>
      </c>
      <c r="D23" t="s">
        <v>13</v>
      </c>
      <c r="E23">
        <v>36</v>
      </c>
      <c r="F23" t="s">
        <v>310</v>
      </c>
      <c r="G23">
        <v>1000212556</v>
      </c>
      <c r="H23" t="s">
        <v>11</v>
      </c>
      <c r="I23" s="1">
        <v>46118</v>
      </c>
      <c r="J23" s="1">
        <v>45580</v>
      </c>
      <c r="K23" t="s">
        <v>10</v>
      </c>
      <c r="L23">
        <v>15</v>
      </c>
      <c r="M23">
        <v>58</v>
      </c>
      <c r="N23" s="1">
        <v>46081</v>
      </c>
      <c r="O23" t="s">
        <v>115</v>
      </c>
      <c r="P23">
        <v>2</v>
      </c>
      <c r="Q23">
        <v>37</v>
      </c>
      <c r="R23">
        <v>8097</v>
      </c>
      <c r="S23">
        <v>54154</v>
      </c>
      <c r="T23">
        <v>300851</v>
      </c>
      <c r="U23" s="3">
        <v>663953</v>
      </c>
      <c r="V23">
        <v>300851</v>
      </c>
      <c r="W23">
        <v>8304624</v>
      </c>
      <c r="X23">
        <v>10446868</v>
      </c>
      <c r="Y23">
        <v>56926264726</v>
      </c>
      <c r="Z23" t="s">
        <v>309</v>
      </c>
      <c r="AA23" t="s">
        <v>22</v>
      </c>
      <c r="AB23" t="s">
        <v>21</v>
      </c>
      <c r="AC23" t="s">
        <v>194</v>
      </c>
      <c r="AD23" t="s">
        <v>308</v>
      </c>
      <c r="AE23" t="s">
        <v>4</v>
      </c>
      <c r="AF23" t="s">
        <v>135</v>
      </c>
      <c r="AG23" t="s">
        <v>58</v>
      </c>
      <c r="AH23" t="s">
        <v>0</v>
      </c>
    </row>
    <row r="24" spans="1:34" x14ac:dyDescent="0.25">
      <c r="A24">
        <v>22736</v>
      </c>
      <c r="B24" t="s">
        <v>27</v>
      </c>
      <c r="C24" t="s">
        <v>307</v>
      </c>
      <c r="D24" t="s">
        <v>13</v>
      </c>
      <c r="E24">
        <v>52</v>
      </c>
      <c r="F24" t="s">
        <v>306</v>
      </c>
      <c r="G24">
        <v>1000227367</v>
      </c>
      <c r="H24" t="s">
        <v>34</v>
      </c>
      <c r="I24" s="1">
        <v>46118</v>
      </c>
      <c r="J24" s="1">
        <v>45656</v>
      </c>
      <c r="K24" t="s">
        <v>10</v>
      </c>
      <c r="L24">
        <v>13</v>
      </c>
      <c r="M24">
        <v>37</v>
      </c>
      <c r="N24" s="1">
        <v>46058</v>
      </c>
      <c r="O24" t="s">
        <v>115</v>
      </c>
      <c r="P24">
        <v>2</v>
      </c>
      <c r="Q24">
        <v>37</v>
      </c>
      <c r="R24">
        <v>5945</v>
      </c>
      <c r="S24">
        <v>30347</v>
      </c>
      <c r="T24">
        <v>337193</v>
      </c>
      <c r="U24" s="3">
        <v>707458</v>
      </c>
      <c r="V24">
        <v>335583</v>
      </c>
      <c r="W24">
        <v>8250752</v>
      </c>
      <c r="X24">
        <v>10529865</v>
      </c>
      <c r="Y24">
        <v>56998985768</v>
      </c>
      <c r="Z24" t="s">
        <v>305</v>
      </c>
      <c r="AA24" t="s">
        <v>22</v>
      </c>
      <c r="AB24" t="s">
        <v>21</v>
      </c>
      <c r="AC24" t="s">
        <v>84</v>
      </c>
      <c r="AD24" t="s">
        <v>304</v>
      </c>
      <c r="AE24" t="s">
        <v>4</v>
      </c>
      <c r="AF24" t="s">
        <v>89</v>
      </c>
      <c r="AG24" t="s">
        <v>192</v>
      </c>
      <c r="AH24" t="s">
        <v>0</v>
      </c>
    </row>
    <row r="25" spans="1:34" x14ac:dyDescent="0.25">
      <c r="A25">
        <v>23270</v>
      </c>
      <c r="B25" t="s">
        <v>27</v>
      </c>
      <c r="C25" t="s">
        <v>303</v>
      </c>
      <c r="D25" t="s">
        <v>25</v>
      </c>
      <c r="E25">
        <v>52</v>
      </c>
      <c r="F25" t="s">
        <v>302</v>
      </c>
      <c r="G25">
        <v>1000232700</v>
      </c>
      <c r="H25" t="s">
        <v>11</v>
      </c>
      <c r="I25" s="1">
        <v>46118</v>
      </c>
      <c r="J25" s="1">
        <v>45687</v>
      </c>
      <c r="K25" t="s">
        <v>10</v>
      </c>
      <c r="L25">
        <v>12</v>
      </c>
      <c r="M25">
        <v>18</v>
      </c>
      <c r="N25" s="1">
        <v>46052</v>
      </c>
      <c r="O25" t="s">
        <v>115</v>
      </c>
      <c r="P25">
        <v>2</v>
      </c>
      <c r="Q25">
        <v>37</v>
      </c>
      <c r="R25">
        <v>3977</v>
      </c>
      <c r="S25">
        <v>25271</v>
      </c>
      <c r="T25">
        <v>280792</v>
      </c>
      <c r="U25" s="3">
        <v>590832</v>
      </c>
      <c r="V25">
        <v>280792</v>
      </c>
      <c r="W25">
        <v>802650</v>
      </c>
      <c r="X25">
        <v>4218705</v>
      </c>
      <c r="Y25">
        <v>56977673383</v>
      </c>
      <c r="Z25" t="s">
        <v>301</v>
      </c>
      <c r="AA25" t="s">
        <v>22</v>
      </c>
      <c r="AB25" t="s">
        <v>21</v>
      </c>
      <c r="AC25" t="s">
        <v>227</v>
      </c>
      <c r="AD25" t="s">
        <v>300</v>
      </c>
      <c r="AE25" t="s">
        <v>4</v>
      </c>
      <c r="AF25" t="s">
        <v>240</v>
      </c>
      <c r="AG25" t="s">
        <v>278</v>
      </c>
      <c r="AH25" t="s">
        <v>0</v>
      </c>
    </row>
    <row r="26" spans="1:34" x14ac:dyDescent="0.25">
      <c r="A26">
        <v>24701</v>
      </c>
      <c r="B26" t="s">
        <v>27</v>
      </c>
      <c r="C26" t="s">
        <v>299</v>
      </c>
      <c r="D26" t="s">
        <v>13</v>
      </c>
      <c r="E26">
        <v>63</v>
      </c>
      <c r="F26" t="s">
        <v>298</v>
      </c>
      <c r="G26">
        <v>1000247015</v>
      </c>
      <c r="H26" t="s">
        <v>11</v>
      </c>
      <c r="I26" s="1">
        <v>46118</v>
      </c>
      <c r="J26" s="1">
        <v>45743</v>
      </c>
      <c r="K26" t="s">
        <v>10</v>
      </c>
      <c r="L26">
        <v>10</v>
      </c>
      <c r="M26">
        <v>37</v>
      </c>
      <c r="N26" s="1">
        <v>46105</v>
      </c>
      <c r="O26" t="s">
        <v>115</v>
      </c>
      <c r="P26">
        <v>2</v>
      </c>
      <c r="Q26">
        <v>37</v>
      </c>
      <c r="R26">
        <v>12835</v>
      </c>
      <c r="S26">
        <v>19868</v>
      </c>
      <c r="T26">
        <v>220751</v>
      </c>
      <c r="U26" s="3">
        <v>474205</v>
      </c>
      <c r="V26">
        <v>220751</v>
      </c>
      <c r="W26">
        <v>4231453</v>
      </c>
      <c r="X26">
        <v>6017544</v>
      </c>
      <c r="Y26">
        <v>56995996183</v>
      </c>
      <c r="Z26" t="s">
        <v>297</v>
      </c>
      <c r="AA26" t="s">
        <v>296</v>
      </c>
      <c r="AB26" t="s">
        <v>295</v>
      </c>
      <c r="AC26" t="s">
        <v>294</v>
      </c>
      <c r="AD26" t="s">
        <v>293</v>
      </c>
      <c r="AE26" t="s">
        <v>4</v>
      </c>
      <c r="AF26" t="s">
        <v>292</v>
      </c>
      <c r="AG26" t="s">
        <v>58</v>
      </c>
      <c r="AH26" t="s">
        <v>0</v>
      </c>
    </row>
    <row r="27" spans="1:34" x14ac:dyDescent="0.25">
      <c r="A27">
        <v>25781</v>
      </c>
      <c r="B27" t="s">
        <v>27</v>
      </c>
      <c r="C27" t="s">
        <v>291</v>
      </c>
      <c r="D27" t="s">
        <v>13</v>
      </c>
      <c r="E27">
        <v>35</v>
      </c>
      <c r="F27" t="s">
        <v>290</v>
      </c>
      <c r="G27">
        <v>1000257819</v>
      </c>
      <c r="H27" t="s">
        <v>11</v>
      </c>
      <c r="I27" s="1">
        <v>46118</v>
      </c>
      <c r="J27" s="1">
        <v>45800</v>
      </c>
      <c r="K27" t="s">
        <v>10</v>
      </c>
      <c r="L27">
        <v>8</v>
      </c>
      <c r="M27">
        <v>35</v>
      </c>
      <c r="N27" s="1">
        <v>46111</v>
      </c>
      <c r="O27" t="s">
        <v>115</v>
      </c>
      <c r="P27">
        <v>2</v>
      </c>
      <c r="Q27">
        <v>37</v>
      </c>
      <c r="R27">
        <v>9713</v>
      </c>
      <c r="S27">
        <v>24175</v>
      </c>
      <c r="T27">
        <v>268616</v>
      </c>
      <c r="U27" s="3">
        <v>571120</v>
      </c>
      <c r="V27">
        <v>268616</v>
      </c>
      <c r="W27">
        <v>5266430</v>
      </c>
      <c r="X27">
        <v>7089317</v>
      </c>
      <c r="Y27">
        <v>56953340806</v>
      </c>
      <c r="Z27" t="s">
        <v>289</v>
      </c>
      <c r="AA27" t="s">
        <v>22</v>
      </c>
      <c r="AB27" t="s">
        <v>21</v>
      </c>
      <c r="AC27" t="s">
        <v>288</v>
      </c>
      <c r="AD27" t="s">
        <v>287</v>
      </c>
      <c r="AE27" t="s">
        <v>97</v>
      </c>
      <c r="AF27" t="s">
        <v>286</v>
      </c>
      <c r="AG27" t="s">
        <v>58</v>
      </c>
      <c r="AH27" t="s">
        <v>0</v>
      </c>
    </row>
    <row r="28" spans="1:34" x14ac:dyDescent="0.25">
      <c r="A28">
        <v>26372</v>
      </c>
      <c r="B28" t="s">
        <v>27</v>
      </c>
      <c r="C28" t="s">
        <v>285</v>
      </c>
      <c r="D28" t="s">
        <v>13</v>
      </c>
      <c r="E28">
        <v>50</v>
      </c>
      <c r="F28" t="s">
        <v>284</v>
      </c>
      <c r="G28">
        <v>1000263720</v>
      </c>
      <c r="H28" t="s">
        <v>34</v>
      </c>
      <c r="I28" s="1">
        <v>46118</v>
      </c>
      <c r="J28" s="1">
        <v>45824</v>
      </c>
      <c r="K28" t="s">
        <v>10</v>
      </c>
      <c r="L28">
        <v>7</v>
      </c>
      <c r="M28">
        <v>49</v>
      </c>
      <c r="N28" s="1">
        <v>46049</v>
      </c>
      <c r="O28" t="s">
        <v>115</v>
      </c>
      <c r="P28">
        <v>2</v>
      </c>
      <c r="Q28">
        <v>37</v>
      </c>
      <c r="R28">
        <v>3902</v>
      </c>
      <c r="S28">
        <v>24794</v>
      </c>
      <c r="T28">
        <v>275492</v>
      </c>
      <c r="U28" s="3">
        <v>577152</v>
      </c>
      <c r="V28">
        <v>274228</v>
      </c>
      <c r="W28">
        <v>9434331</v>
      </c>
      <c r="X28">
        <v>10055870</v>
      </c>
      <c r="Y28">
        <v>56988560739</v>
      </c>
      <c r="Z28" t="s">
        <v>283</v>
      </c>
      <c r="AA28" t="s">
        <v>282</v>
      </c>
      <c r="AB28" t="s">
        <v>281</v>
      </c>
      <c r="AC28" t="s">
        <v>280</v>
      </c>
      <c r="AD28" t="s">
        <v>279</v>
      </c>
      <c r="AE28" t="s">
        <v>4</v>
      </c>
      <c r="AF28" t="s">
        <v>177</v>
      </c>
      <c r="AG28" t="s">
        <v>278</v>
      </c>
      <c r="AH28" t="s">
        <v>0</v>
      </c>
    </row>
    <row r="29" spans="1:34" x14ac:dyDescent="0.25">
      <c r="A29">
        <v>28087</v>
      </c>
      <c r="B29" t="s">
        <v>27</v>
      </c>
      <c r="C29" t="s">
        <v>277</v>
      </c>
      <c r="D29" t="s">
        <v>13</v>
      </c>
      <c r="E29">
        <v>59</v>
      </c>
      <c r="F29" t="s">
        <v>276</v>
      </c>
      <c r="G29">
        <v>1000280870</v>
      </c>
      <c r="H29" t="s">
        <v>34</v>
      </c>
      <c r="I29" s="1">
        <v>46118</v>
      </c>
      <c r="J29" s="1">
        <v>45863</v>
      </c>
      <c r="K29" t="s">
        <v>45</v>
      </c>
      <c r="L29">
        <v>6</v>
      </c>
      <c r="M29">
        <v>49</v>
      </c>
      <c r="N29" s="1">
        <v>46108</v>
      </c>
      <c r="O29" t="s">
        <v>115</v>
      </c>
      <c r="P29">
        <v>2</v>
      </c>
      <c r="Q29">
        <v>37</v>
      </c>
      <c r="R29">
        <v>14190</v>
      </c>
      <c r="S29">
        <v>35320</v>
      </c>
      <c r="T29">
        <v>392445</v>
      </c>
      <c r="U29" s="3">
        <v>834400</v>
      </c>
      <c r="V29">
        <v>392445</v>
      </c>
      <c r="W29">
        <v>12912020</v>
      </c>
      <c r="X29">
        <v>13904660</v>
      </c>
      <c r="Y29">
        <v>56995245785</v>
      </c>
      <c r="Z29" t="s">
        <v>275</v>
      </c>
      <c r="AA29" t="s">
        <v>22</v>
      </c>
      <c r="AB29" t="s">
        <v>125</v>
      </c>
      <c r="AC29" t="s">
        <v>274</v>
      </c>
      <c r="AD29" t="s">
        <v>273</v>
      </c>
      <c r="AE29" t="s">
        <v>4</v>
      </c>
      <c r="AF29" t="s">
        <v>157</v>
      </c>
      <c r="AG29" t="s">
        <v>169</v>
      </c>
      <c r="AH29" t="s">
        <v>0</v>
      </c>
    </row>
    <row r="30" spans="1:34" x14ac:dyDescent="0.25">
      <c r="A30">
        <v>30925</v>
      </c>
      <c r="B30" t="s">
        <v>27</v>
      </c>
      <c r="C30" t="s">
        <v>272</v>
      </c>
      <c r="D30" t="s">
        <v>13</v>
      </c>
      <c r="E30">
        <v>52</v>
      </c>
      <c r="F30" t="s">
        <v>271</v>
      </c>
      <c r="G30">
        <v>1000309258</v>
      </c>
      <c r="H30" t="s">
        <v>34</v>
      </c>
      <c r="I30" s="1">
        <v>46118</v>
      </c>
      <c r="J30" s="1">
        <v>45930</v>
      </c>
      <c r="K30" t="s">
        <v>45</v>
      </c>
      <c r="L30">
        <v>4</v>
      </c>
      <c r="M30">
        <v>49</v>
      </c>
      <c r="N30" s="1">
        <v>46073</v>
      </c>
      <c r="O30" t="s">
        <v>115</v>
      </c>
      <c r="P30">
        <v>2</v>
      </c>
      <c r="Q30">
        <v>37</v>
      </c>
      <c r="R30">
        <v>21504</v>
      </c>
      <c r="S30">
        <v>28027</v>
      </c>
      <c r="T30">
        <v>311416</v>
      </c>
      <c r="U30" s="3">
        <v>665911</v>
      </c>
      <c r="V30">
        <v>308190</v>
      </c>
      <c r="W30">
        <v>10609873</v>
      </c>
      <c r="X30">
        <v>11120386</v>
      </c>
      <c r="Y30">
        <v>56962060140</v>
      </c>
      <c r="Z30" t="s">
        <v>270</v>
      </c>
      <c r="AA30" t="s">
        <v>22</v>
      </c>
      <c r="AB30" t="s">
        <v>125</v>
      </c>
      <c r="AC30" t="s">
        <v>124</v>
      </c>
      <c r="AD30" t="s">
        <v>269</v>
      </c>
      <c r="AE30" t="s">
        <v>4</v>
      </c>
      <c r="AF30" t="s">
        <v>157</v>
      </c>
      <c r="AG30" t="s">
        <v>81</v>
      </c>
      <c r="AH30" t="s">
        <v>0</v>
      </c>
    </row>
    <row r="31" spans="1:34" x14ac:dyDescent="0.25">
      <c r="A31">
        <v>32534</v>
      </c>
      <c r="B31" t="s">
        <v>27</v>
      </c>
      <c r="C31" t="s">
        <v>268</v>
      </c>
      <c r="D31" t="s">
        <v>13</v>
      </c>
      <c r="E31">
        <v>32</v>
      </c>
      <c r="F31" t="s">
        <v>267</v>
      </c>
      <c r="G31">
        <v>1000325342</v>
      </c>
      <c r="H31" t="s">
        <v>11</v>
      </c>
      <c r="I31" s="1">
        <v>46118</v>
      </c>
      <c r="J31" s="1">
        <v>45954</v>
      </c>
      <c r="K31" t="s">
        <v>45</v>
      </c>
      <c r="L31">
        <v>3</v>
      </c>
      <c r="M31">
        <v>48</v>
      </c>
      <c r="N31" s="1">
        <v>46064</v>
      </c>
      <c r="O31" t="s">
        <v>115</v>
      </c>
      <c r="P31">
        <v>2</v>
      </c>
      <c r="Q31">
        <v>37</v>
      </c>
      <c r="R31">
        <v>6710</v>
      </c>
      <c r="S31">
        <v>34251</v>
      </c>
      <c r="T31">
        <v>380563</v>
      </c>
      <c r="U31" s="3">
        <v>795503</v>
      </c>
      <c r="V31">
        <v>377271</v>
      </c>
      <c r="W31">
        <v>10034588</v>
      </c>
      <c r="X31">
        <v>10902644</v>
      </c>
      <c r="Y31">
        <v>56940918521</v>
      </c>
      <c r="Z31" t="s">
        <v>266</v>
      </c>
      <c r="AA31" t="s">
        <v>22</v>
      </c>
      <c r="AB31" t="s">
        <v>21</v>
      </c>
      <c r="AC31" t="s">
        <v>142</v>
      </c>
      <c r="AD31" t="s">
        <v>265</v>
      </c>
      <c r="AE31" t="s">
        <v>4</v>
      </c>
      <c r="AF31" t="s">
        <v>264</v>
      </c>
      <c r="AG31" t="s">
        <v>116</v>
      </c>
      <c r="AH31" t="s">
        <v>0</v>
      </c>
    </row>
    <row r="32" spans="1:34" x14ac:dyDescent="0.25">
      <c r="A32">
        <v>33990</v>
      </c>
      <c r="B32" t="s">
        <v>27</v>
      </c>
      <c r="C32" t="s">
        <v>263</v>
      </c>
      <c r="D32" t="s">
        <v>25</v>
      </c>
      <c r="E32">
        <v>36</v>
      </c>
      <c r="F32" t="s">
        <v>262</v>
      </c>
      <c r="G32">
        <v>1000339904</v>
      </c>
      <c r="H32" t="s">
        <v>11</v>
      </c>
      <c r="I32" s="1">
        <v>46118</v>
      </c>
      <c r="J32" s="1">
        <v>45968</v>
      </c>
      <c r="K32" t="s">
        <v>45</v>
      </c>
      <c r="L32">
        <v>2</v>
      </c>
      <c r="M32">
        <v>36</v>
      </c>
      <c r="N32" s="1">
        <v>46111</v>
      </c>
      <c r="O32" t="s">
        <v>115</v>
      </c>
      <c r="P32">
        <v>2</v>
      </c>
      <c r="Q32">
        <v>37</v>
      </c>
      <c r="R32">
        <v>19381</v>
      </c>
      <c r="S32">
        <v>44116</v>
      </c>
      <c r="T32">
        <v>536066</v>
      </c>
      <c r="U32" s="3">
        <v>1127205</v>
      </c>
      <c r="V32">
        <v>531854</v>
      </c>
      <c r="W32">
        <v>11644855</v>
      </c>
      <c r="X32">
        <v>12959096</v>
      </c>
      <c r="Y32">
        <v>56999638218</v>
      </c>
      <c r="Z32" t="s">
        <v>261</v>
      </c>
      <c r="AA32" t="s">
        <v>249</v>
      </c>
      <c r="AB32" t="s">
        <v>248</v>
      </c>
      <c r="AC32" t="s">
        <v>247</v>
      </c>
      <c r="AD32" t="s">
        <v>260</v>
      </c>
      <c r="AE32" t="s">
        <v>4</v>
      </c>
      <c r="AF32" t="s">
        <v>259</v>
      </c>
      <c r="AG32" t="s">
        <v>2</v>
      </c>
      <c r="AH32" t="s">
        <v>0</v>
      </c>
    </row>
    <row r="33" spans="1:34" x14ac:dyDescent="0.25">
      <c r="A33">
        <v>36074</v>
      </c>
      <c r="B33" t="s">
        <v>27</v>
      </c>
      <c r="C33" t="s">
        <v>258</v>
      </c>
      <c r="D33" t="s">
        <v>25</v>
      </c>
      <c r="E33">
        <v>37</v>
      </c>
      <c r="F33" t="s">
        <v>257</v>
      </c>
      <c r="G33">
        <v>1000360741</v>
      </c>
      <c r="H33" t="s">
        <v>11</v>
      </c>
      <c r="I33" s="1">
        <v>46118</v>
      </c>
      <c r="J33" s="1">
        <v>46014</v>
      </c>
      <c r="K33" t="s">
        <v>45</v>
      </c>
      <c r="L33">
        <v>1</v>
      </c>
      <c r="M33">
        <v>35</v>
      </c>
      <c r="N33" s="1">
        <v>46076</v>
      </c>
      <c r="O33" t="s">
        <v>115</v>
      </c>
      <c r="P33">
        <v>2</v>
      </c>
      <c r="Q33">
        <v>37</v>
      </c>
      <c r="R33">
        <v>3610</v>
      </c>
      <c r="S33">
        <v>24140</v>
      </c>
      <c r="T33">
        <v>134115</v>
      </c>
      <c r="U33" s="3">
        <v>295980</v>
      </c>
      <c r="V33">
        <v>134115</v>
      </c>
      <c r="W33">
        <v>3218812</v>
      </c>
      <c r="X33">
        <v>3529303</v>
      </c>
      <c r="Y33">
        <v>56983226888</v>
      </c>
      <c r="Z33" t="s">
        <v>256</v>
      </c>
      <c r="AA33" t="s">
        <v>22</v>
      </c>
      <c r="AB33" t="s">
        <v>255</v>
      </c>
      <c r="AC33" t="s">
        <v>254</v>
      </c>
      <c r="AD33" t="s">
        <v>253</v>
      </c>
      <c r="AE33" t="s">
        <v>4</v>
      </c>
      <c r="AF33" t="s">
        <v>245</v>
      </c>
      <c r="AG33" t="s">
        <v>58</v>
      </c>
      <c r="AH33" t="s">
        <v>0</v>
      </c>
    </row>
    <row r="34" spans="1:34" x14ac:dyDescent="0.25">
      <c r="A34">
        <v>37384</v>
      </c>
      <c r="B34" t="s">
        <v>27</v>
      </c>
      <c r="C34" t="s">
        <v>252</v>
      </c>
      <c r="D34" t="s">
        <v>13</v>
      </c>
      <c r="E34">
        <v>40</v>
      </c>
      <c r="F34" t="s">
        <v>251</v>
      </c>
      <c r="G34">
        <v>1000373843</v>
      </c>
      <c r="H34" t="s">
        <v>11</v>
      </c>
      <c r="I34" s="1">
        <v>46118</v>
      </c>
      <c r="J34" s="1">
        <v>46045</v>
      </c>
      <c r="K34" t="s">
        <v>45</v>
      </c>
      <c r="L34">
        <v>0</v>
      </c>
      <c r="M34">
        <v>35</v>
      </c>
      <c r="O34" t="s">
        <v>115</v>
      </c>
      <c r="P34">
        <v>2</v>
      </c>
      <c r="Q34">
        <v>37</v>
      </c>
      <c r="R34">
        <v>2879</v>
      </c>
      <c r="S34">
        <v>18290</v>
      </c>
      <c r="T34">
        <v>203217</v>
      </c>
      <c r="U34" s="3">
        <v>427603</v>
      </c>
      <c r="V34">
        <v>203217</v>
      </c>
      <c r="W34">
        <v>4766401</v>
      </c>
      <c r="X34">
        <v>5080623</v>
      </c>
      <c r="Y34">
        <v>56985614514</v>
      </c>
      <c r="Z34" t="s">
        <v>250</v>
      </c>
      <c r="AA34" t="s">
        <v>249</v>
      </c>
      <c r="AB34" t="s">
        <v>248</v>
      </c>
      <c r="AC34" t="s">
        <v>247</v>
      </c>
      <c r="AD34" t="s">
        <v>246</v>
      </c>
      <c r="AE34" t="s">
        <v>4</v>
      </c>
      <c r="AF34" t="s">
        <v>245</v>
      </c>
      <c r="AG34" t="s">
        <v>58</v>
      </c>
      <c r="AH34" t="s">
        <v>0</v>
      </c>
    </row>
    <row r="35" spans="1:34" x14ac:dyDescent="0.25">
      <c r="A35">
        <v>3500</v>
      </c>
      <c r="B35" t="s">
        <v>27</v>
      </c>
      <c r="C35" t="s">
        <v>244</v>
      </c>
      <c r="D35" t="s">
        <v>13</v>
      </c>
      <c r="E35">
        <v>45</v>
      </c>
      <c r="F35" t="s">
        <v>243</v>
      </c>
      <c r="G35">
        <v>1000035000</v>
      </c>
      <c r="H35" t="s">
        <v>11</v>
      </c>
      <c r="I35" s="1">
        <v>46118</v>
      </c>
      <c r="J35" s="1">
        <v>44669</v>
      </c>
      <c r="K35" t="s">
        <v>10</v>
      </c>
      <c r="L35">
        <v>44</v>
      </c>
      <c r="M35">
        <v>48</v>
      </c>
      <c r="N35" s="1">
        <v>46048</v>
      </c>
      <c r="O35" t="s">
        <v>74</v>
      </c>
      <c r="P35">
        <v>3</v>
      </c>
      <c r="Q35">
        <v>65</v>
      </c>
      <c r="R35">
        <v>16971</v>
      </c>
      <c r="S35">
        <v>62474</v>
      </c>
      <c r="T35">
        <v>347080</v>
      </c>
      <c r="U35" s="3">
        <v>1120685</v>
      </c>
      <c r="V35">
        <v>347071</v>
      </c>
      <c r="W35">
        <v>0</v>
      </c>
      <c r="X35">
        <v>12434545</v>
      </c>
      <c r="Y35">
        <v>56999124688</v>
      </c>
      <c r="Z35" t="s">
        <v>242</v>
      </c>
      <c r="AA35" t="s">
        <v>22</v>
      </c>
      <c r="AB35" t="s">
        <v>222</v>
      </c>
      <c r="AC35" t="s">
        <v>221</v>
      </c>
      <c r="AD35" t="s">
        <v>241</v>
      </c>
      <c r="AE35" t="s">
        <v>4</v>
      </c>
      <c r="AF35" t="s">
        <v>240</v>
      </c>
      <c r="AG35" t="s">
        <v>192</v>
      </c>
      <c r="AH35" t="s">
        <v>0</v>
      </c>
    </row>
    <row r="36" spans="1:34" x14ac:dyDescent="0.25">
      <c r="A36">
        <v>7904</v>
      </c>
      <c r="B36" t="s">
        <v>27</v>
      </c>
      <c r="C36" t="s">
        <v>239</v>
      </c>
      <c r="D36" t="s">
        <v>13</v>
      </c>
      <c r="E36">
        <v>27</v>
      </c>
      <c r="F36" t="s">
        <v>238</v>
      </c>
      <c r="G36">
        <v>1000079040</v>
      </c>
      <c r="H36" t="s">
        <v>11</v>
      </c>
      <c r="I36" s="1">
        <v>46118</v>
      </c>
      <c r="J36" s="1">
        <v>44949</v>
      </c>
      <c r="K36" t="s">
        <v>10</v>
      </c>
      <c r="L36">
        <v>35</v>
      </c>
      <c r="M36">
        <v>48</v>
      </c>
      <c r="N36" s="1">
        <v>46045</v>
      </c>
      <c r="O36" t="s">
        <v>74</v>
      </c>
      <c r="P36">
        <v>3</v>
      </c>
      <c r="Q36">
        <v>65</v>
      </c>
      <c r="R36">
        <v>19284</v>
      </c>
      <c r="S36">
        <v>70982</v>
      </c>
      <c r="T36">
        <v>394348</v>
      </c>
      <c r="U36" s="3">
        <v>1273310</v>
      </c>
      <c r="V36">
        <v>394348</v>
      </c>
      <c r="W36">
        <v>3209421</v>
      </c>
      <c r="X36">
        <v>12424172</v>
      </c>
      <c r="Y36">
        <v>56934046143</v>
      </c>
      <c r="Z36" t="s">
        <v>237</v>
      </c>
      <c r="AA36" t="s">
        <v>22</v>
      </c>
      <c r="AB36" t="s">
        <v>21</v>
      </c>
      <c r="AC36" t="s">
        <v>194</v>
      </c>
      <c r="AD36" t="s">
        <v>236</v>
      </c>
      <c r="AE36" t="s">
        <v>4</v>
      </c>
      <c r="AF36" t="s">
        <v>146</v>
      </c>
      <c r="AG36" t="s">
        <v>192</v>
      </c>
      <c r="AH36" t="s">
        <v>0</v>
      </c>
    </row>
    <row r="37" spans="1:34" x14ac:dyDescent="0.25">
      <c r="A37">
        <v>9386</v>
      </c>
      <c r="B37" t="s">
        <v>27</v>
      </c>
      <c r="C37" t="s">
        <v>235</v>
      </c>
      <c r="D37" t="s">
        <v>13</v>
      </c>
      <c r="E37">
        <v>41</v>
      </c>
      <c r="F37" t="s">
        <v>234</v>
      </c>
      <c r="G37">
        <v>1000093867</v>
      </c>
      <c r="H37" t="s">
        <v>11</v>
      </c>
      <c r="I37" s="1">
        <v>46118</v>
      </c>
      <c r="J37" s="1">
        <v>45044</v>
      </c>
      <c r="K37" t="s">
        <v>45</v>
      </c>
      <c r="L37">
        <v>32</v>
      </c>
      <c r="M37">
        <v>72</v>
      </c>
      <c r="N37" s="1">
        <v>46025</v>
      </c>
      <c r="O37" t="s">
        <v>74</v>
      </c>
      <c r="P37">
        <v>3</v>
      </c>
      <c r="Q37">
        <v>65</v>
      </c>
      <c r="R37">
        <v>9401</v>
      </c>
      <c r="S37">
        <v>34602</v>
      </c>
      <c r="T37">
        <v>192231</v>
      </c>
      <c r="U37" s="3">
        <v>620696</v>
      </c>
      <c r="V37">
        <v>192231</v>
      </c>
      <c r="W37">
        <v>5057022</v>
      </c>
      <c r="X37">
        <v>12896016</v>
      </c>
      <c r="Y37">
        <v>56962095906</v>
      </c>
      <c r="Z37" t="s">
        <v>233</v>
      </c>
      <c r="AA37" t="s">
        <v>22</v>
      </c>
      <c r="AB37" t="s">
        <v>21</v>
      </c>
      <c r="AC37" t="s">
        <v>179</v>
      </c>
      <c r="AD37" t="s">
        <v>232</v>
      </c>
      <c r="AE37" t="s">
        <v>60</v>
      </c>
      <c r="AF37" t="s">
        <v>231</v>
      </c>
      <c r="AG37" t="s">
        <v>58</v>
      </c>
      <c r="AH37" t="s">
        <v>0</v>
      </c>
    </row>
    <row r="38" spans="1:34" x14ac:dyDescent="0.25">
      <c r="A38">
        <v>10288</v>
      </c>
      <c r="B38" t="s">
        <v>27</v>
      </c>
      <c r="C38" t="s">
        <v>230</v>
      </c>
      <c r="D38" t="s">
        <v>13</v>
      </c>
      <c r="E38">
        <v>38</v>
      </c>
      <c r="F38" t="s">
        <v>229</v>
      </c>
      <c r="G38">
        <v>1000102882</v>
      </c>
      <c r="H38" t="s">
        <v>11</v>
      </c>
      <c r="I38" s="1">
        <v>46118</v>
      </c>
      <c r="J38" s="1">
        <v>45075</v>
      </c>
      <c r="K38" t="s">
        <v>10</v>
      </c>
      <c r="L38">
        <v>31</v>
      </c>
      <c r="M38">
        <v>48</v>
      </c>
      <c r="N38" s="1">
        <v>46044</v>
      </c>
      <c r="O38" t="s">
        <v>74</v>
      </c>
      <c r="P38">
        <v>3</v>
      </c>
      <c r="Q38">
        <v>65</v>
      </c>
      <c r="R38">
        <v>23185</v>
      </c>
      <c r="S38">
        <v>74538</v>
      </c>
      <c r="T38">
        <v>276063</v>
      </c>
      <c r="U38" s="3">
        <v>925912</v>
      </c>
      <c r="V38">
        <v>276063</v>
      </c>
      <c r="W38">
        <v>3166937</v>
      </c>
      <c r="X38">
        <v>8901212</v>
      </c>
      <c r="Y38">
        <v>56941874924</v>
      </c>
      <c r="Z38" t="s">
        <v>228</v>
      </c>
      <c r="AA38" t="s">
        <v>22</v>
      </c>
      <c r="AB38" t="s">
        <v>21</v>
      </c>
      <c r="AC38" t="s">
        <v>227</v>
      </c>
      <c r="AD38" t="s">
        <v>226</v>
      </c>
      <c r="AE38" t="s">
        <v>4</v>
      </c>
      <c r="AF38" t="s">
        <v>82</v>
      </c>
      <c r="AG38" t="s">
        <v>81</v>
      </c>
      <c r="AH38" t="s">
        <v>0</v>
      </c>
    </row>
    <row r="39" spans="1:34" x14ac:dyDescent="0.25">
      <c r="A39">
        <v>12173</v>
      </c>
      <c r="B39" t="s">
        <v>27</v>
      </c>
      <c r="C39" t="s">
        <v>225</v>
      </c>
      <c r="D39" t="s">
        <v>13</v>
      </c>
      <c r="E39">
        <v>46</v>
      </c>
      <c r="F39" t="s">
        <v>224</v>
      </c>
      <c r="G39">
        <v>1000121739</v>
      </c>
      <c r="H39" t="s">
        <v>11</v>
      </c>
      <c r="I39" s="1">
        <v>46118</v>
      </c>
      <c r="J39" s="1">
        <v>45152</v>
      </c>
      <c r="K39" t="s">
        <v>10</v>
      </c>
      <c r="L39">
        <v>28</v>
      </c>
      <c r="M39">
        <v>48</v>
      </c>
      <c r="N39" s="1">
        <v>46111</v>
      </c>
      <c r="O39" t="s">
        <v>74</v>
      </c>
      <c r="P39">
        <v>3</v>
      </c>
      <c r="Q39">
        <v>65</v>
      </c>
      <c r="R39">
        <v>26490</v>
      </c>
      <c r="S39">
        <v>51848</v>
      </c>
      <c r="T39">
        <v>288050</v>
      </c>
      <c r="U39" s="3">
        <v>942488</v>
      </c>
      <c r="V39">
        <v>288050</v>
      </c>
      <c r="W39">
        <v>3847950</v>
      </c>
      <c r="X39">
        <v>8836584</v>
      </c>
      <c r="Y39">
        <v>56996747563</v>
      </c>
      <c r="Z39" t="s">
        <v>223</v>
      </c>
      <c r="AA39" t="s">
        <v>22</v>
      </c>
      <c r="AB39" t="s">
        <v>222</v>
      </c>
      <c r="AC39" t="s">
        <v>221</v>
      </c>
      <c r="AD39" t="s">
        <v>220</v>
      </c>
      <c r="AE39" t="s">
        <v>4</v>
      </c>
      <c r="AF39" t="s">
        <v>163</v>
      </c>
      <c r="AG39" t="s">
        <v>210</v>
      </c>
      <c r="AH39" t="s">
        <v>0</v>
      </c>
    </row>
    <row r="40" spans="1:34" x14ac:dyDescent="0.25">
      <c r="A40">
        <v>13784</v>
      </c>
      <c r="B40" t="s">
        <v>27</v>
      </c>
      <c r="C40" t="s">
        <v>219</v>
      </c>
      <c r="D40" t="s">
        <v>13</v>
      </c>
      <c r="E40">
        <v>30</v>
      </c>
      <c r="F40" t="s">
        <v>218</v>
      </c>
      <c r="G40">
        <v>1000137848</v>
      </c>
      <c r="H40" t="s">
        <v>34</v>
      </c>
      <c r="I40" s="1">
        <v>46118</v>
      </c>
      <c r="J40" s="1">
        <v>45229</v>
      </c>
      <c r="K40" t="s">
        <v>10</v>
      </c>
      <c r="L40">
        <v>26</v>
      </c>
      <c r="M40">
        <v>37</v>
      </c>
      <c r="N40" s="1">
        <v>46053</v>
      </c>
      <c r="O40" t="s">
        <v>74</v>
      </c>
      <c r="P40">
        <v>3</v>
      </c>
      <c r="Q40">
        <v>65</v>
      </c>
      <c r="R40">
        <v>22131</v>
      </c>
      <c r="S40">
        <v>71157</v>
      </c>
      <c r="T40">
        <v>263539</v>
      </c>
      <c r="U40" s="3">
        <v>883905</v>
      </c>
      <c r="V40">
        <v>263539</v>
      </c>
      <c r="W40">
        <v>5733317</v>
      </c>
      <c r="X40">
        <v>9134952</v>
      </c>
      <c r="Y40">
        <v>56950164264</v>
      </c>
      <c r="Z40" t="s">
        <v>217</v>
      </c>
      <c r="AA40" t="s">
        <v>22</v>
      </c>
      <c r="AB40" t="s">
        <v>21</v>
      </c>
      <c r="AC40" t="s">
        <v>84</v>
      </c>
      <c r="AD40" t="s">
        <v>216</v>
      </c>
      <c r="AE40" t="s">
        <v>4</v>
      </c>
      <c r="AF40" t="s">
        <v>89</v>
      </c>
      <c r="AG40" t="s">
        <v>116</v>
      </c>
      <c r="AH40" t="s">
        <v>0</v>
      </c>
    </row>
    <row r="41" spans="1:34" x14ac:dyDescent="0.25">
      <c r="A41">
        <v>14209</v>
      </c>
      <c r="B41" t="s">
        <v>27</v>
      </c>
      <c r="C41" t="s">
        <v>215</v>
      </c>
      <c r="D41" t="s">
        <v>13</v>
      </c>
      <c r="E41">
        <v>38</v>
      </c>
      <c r="F41" t="s">
        <v>214</v>
      </c>
      <c r="G41">
        <v>1000142094</v>
      </c>
      <c r="H41" t="s">
        <v>34</v>
      </c>
      <c r="I41" s="1">
        <v>46118</v>
      </c>
      <c r="J41" s="1">
        <v>45229</v>
      </c>
      <c r="K41" t="s">
        <v>10</v>
      </c>
      <c r="L41">
        <v>26</v>
      </c>
      <c r="M41">
        <v>37</v>
      </c>
      <c r="N41" s="1">
        <v>46113</v>
      </c>
      <c r="O41" t="s">
        <v>74</v>
      </c>
      <c r="P41">
        <v>3</v>
      </c>
      <c r="Q41">
        <v>65</v>
      </c>
      <c r="R41">
        <v>35236</v>
      </c>
      <c r="S41">
        <v>46978</v>
      </c>
      <c r="T41">
        <v>260988</v>
      </c>
      <c r="U41" s="3">
        <v>865178</v>
      </c>
      <c r="V41">
        <v>260988</v>
      </c>
      <c r="W41">
        <v>7019784</v>
      </c>
      <c r="X41">
        <v>9847421</v>
      </c>
      <c r="Y41">
        <v>56951113434</v>
      </c>
      <c r="Z41" t="s">
        <v>213</v>
      </c>
      <c r="AA41" t="s">
        <v>22</v>
      </c>
      <c r="AB41" t="s">
        <v>21</v>
      </c>
      <c r="AC41" t="s">
        <v>212</v>
      </c>
      <c r="AD41" t="s">
        <v>211</v>
      </c>
      <c r="AE41" t="s">
        <v>4</v>
      </c>
      <c r="AF41" t="s">
        <v>89</v>
      </c>
      <c r="AG41" t="s">
        <v>210</v>
      </c>
      <c r="AH41" t="s">
        <v>0</v>
      </c>
    </row>
    <row r="42" spans="1:34" x14ac:dyDescent="0.25">
      <c r="A42">
        <v>15531</v>
      </c>
      <c r="B42" t="s">
        <v>27</v>
      </c>
      <c r="C42" t="s">
        <v>209</v>
      </c>
      <c r="D42" t="s">
        <v>47</v>
      </c>
      <c r="F42" t="s">
        <v>208</v>
      </c>
      <c r="G42">
        <v>1000155315</v>
      </c>
      <c r="H42" t="s">
        <v>34</v>
      </c>
      <c r="I42" s="1">
        <v>46118</v>
      </c>
      <c r="J42" s="1">
        <v>45288</v>
      </c>
      <c r="K42" t="s">
        <v>207</v>
      </c>
      <c r="L42">
        <v>24</v>
      </c>
      <c r="M42">
        <v>49</v>
      </c>
      <c r="N42" s="1">
        <v>46045</v>
      </c>
      <c r="O42" t="s">
        <v>74</v>
      </c>
      <c r="P42">
        <v>3</v>
      </c>
      <c r="Q42">
        <v>65</v>
      </c>
      <c r="R42">
        <v>45573</v>
      </c>
      <c r="S42">
        <v>133476</v>
      </c>
      <c r="T42">
        <v>542643</v>
      </c>
      <c r="U42" s="3">
        <v>1806978</v>
      </c>
      <c r="V42">
        <v>542643</v>
      </c>
      <c r="W42">
        <v>15734472</v>
      </c>
      <c r="X42">
        <v>21798226</v>
      </c>
      <c r="Y42">
        <v>56968965374</v>
      </c>
      <c r="Z42" t="s">
        <v>206</v>
      </c>
      <c r="AA42" t="s">
        <v>22</v>
      </c>
      <c r="AB42" t="s">
        <v>21</v>
      </c>
      <c r="AC42" t="s">
        <v>205</v>
      </c>
      <c r="AD42" t="s">
        <v>204</v>
      </c>
      <c r="AE42" t="s">
        <v>97</v>
      </c>
      <c r="AF42" t="s">
        <v>203</v>
      </c>
      <c r="AG42" t="s">
        <v>202</v>
      </c>
      <c r="AH42" t="s">
        <v>0</v>
      </c>
    </row>
    <row r="43" spans="1:34" x14ac:dyDescent="0.25">
      <c r="A43">
        <v>16410</v>
      </c>
      <c r="B43" t="s">
        <v>27</v>
      </c>
      <c r="C43" t="s">
        <v>201</v>
      </c>
      <c r="D43" t="s">
        <v>13</v>
      </c>
      <c r="E43">
        <v>51</v>
      </c>
      <c r="F43" t="s">
        <v>200</v>
      </c>
      <c r="G43">
        <v>1000164101</v>
      </c>
      <c r="H43" t="s">
        <v>34</v>
      </c>
      <c r="I43" s="1">
        <v>46118</v>
      </c>
      <c r="J43" s="1">
        <v>45341</v>
      </c>
      <c r="K43" t="s">
        <v>10</v>
      </c>
      <c r="L43">
        <v>22</v>
      </c>
      <c r="M43">
        <v>49</v>
      </c>
      <c r="N43" s="1">
        <v>46112</v>
      </c>
      <c r="O43" t="s">
        <v>74</v>
      </c>
      <c r="P43">
        <v>3</v>
      </c>
      <c r="Q43">
        <v>65</v>
      </c>
      <c r="R43">
        <v>66205</v>
      </c>
      <c r="S43">
        <v>66920</v>
      </c>
      <c r="T43">
        <v>371783</v>
      </c>
      <c r="U43" s="3">
        <v>1245102</v>
      </c>
      <c r="V43">
        <v>370659</v>
      </c>
      <c r="W43">
        <v>10197495</v>
      </c>
      <c r="X43">
        <v>13631410</v>
      </c>
      <c r="Y43">
        <v>56950950367</v>
      </c>
      <c r="Z43" t="s">
        <v>199</v>
      </c>
      <c r="AA43" t="s">
        <v>22</v>
      </c>
      <c r="AB43" t="s">
        <v>125</v>
      </c>
      <c r="AC43" t="s">
        <v>124</v>
      </c>
      <c r="AD43" t="s">
        <v>198</v>
      </c>
      <c r="AE43" t="s">
        <v>4</v>
      </c>
      <c r="AF43" t="s">
        <v>82</v>
      </c>
      <c r="AG43" t="s">
        <v>192</v>
      </c>
      <c r="AH43" t="s">
        <v>0</v>
      </c>
    </row>
    <row r="44" spans="1:34" x14ac:dyDescent="0.25">
      <c r="A44">
        <v>17658</v>
      </c>
      <c r="B44" t="s">
        <v>27</v>
      </c>
      <c r="C44" t="s">
        <v>197</v>
      </c>
      <c r="D44" t="s">
        <v>25</v>
      </c>
      <c r="E44">
        <v>45</v>
      </c>
      <c r="F44" t="s">
        <v>196</v>
      </c>
      <c r="G44">
        <v>1000176584</v>
      </c>
      <c r="H44" t="s">
        <v>34</v>
      </c>
      <c r="I44" s="1">
        <v>46118</v>
      </c>
      <c r="J44" s="1">
        <v>45411</v>
      </c>
      <c r="K44" t="s">
        <v>10</v>
      </c>
      <c r="L44">
        <v>20</v>
      </c>
      <c r="M44">
        <v>37</v>
      </c>
      <c r="N44" s="1">
        <v>45993</v>
      </c>
      <c r="O44" t="s">
        <v>74</v>
      </c>
      <c r="P44">
        <v>3</v>
      </c>
      <c r="Q44">
        <v>65</v>
      </c>
      <c r="R44">
        <v>23019</v>
      </c>
      <c r="S44">
        <v>80364</v>
      </c>
      <c r="T44">
        <v>470696</v>
      </c>
      <c r="U44" s="3">
        <v>1510737</v>
      </c>
      <c r="V44">
        <v>469118</v>
      </c>
      <c r="W44">
        <v>7349358</v>
      </c>
      <c r="X44">
        <v>13338595</v>
      </c>
      <c r="Y44">
        <v>56984885403</v>
      </c>
      <c r="Z44" t="s">
        <v>195</v>
      </c>
      <c r="AA44" t="s">
        <v>22</v>
      </c>
      <c r="AB44" t="s">
        <v>21</v>
      </c>
      <c r="AC44" t="s">
        <v>194</v>
      </c>
      <c r="AD44" t="s">
        <v>193</v>
      </c>
      <c r="AE44" t="s">
        <v>4</v>
      </c>
      <c r="AF44" t="s">
        <v>151</v>
      </c>
      <c r="AG44" t="s">
        <v>192</v>
      </c>
      <c r="AH44" t="s">
        <v>0</v>
      </c>
    </row>
    <row r="45" spans="1:34" x14ac:dyDescent="0.25">
      <c r="A45">
        <v>19640</v>
      </c>
      <c r="B45" t="s">
        <v>27</v>
      </c>
      <c r="C45" t="s">
        <v>191</v>
      </c>
      <c r="D45" t="s">
        <v>13</v>
      </c>
      <c r="E45">
        <v>50</v>
      </c>
      <c r="F45" t="s">
        <v>190</v>
      </c>
      <c r="G45">
        <v>1000196402</v>
      </c>
      <c r="H45" t="s">
        <v>11</v>
      </c>
      <c r="I45" s="1">
        <v>46118</v>
      </c>
      <c r="J45" s="1">
        <v>45504</v>
      </c>
      <c r="K45" t="s">
        <v>10</v>
      </c>
      <c r="L45">
        <v>17</v>
      </c>
      <c r="M45">
        <v>35</v>
      </c>
      <c r="N45" s="1">
        <v>46057</v>
      </c>
      <c r="O45" t="s">
        <v>74</v>
      </c>
      <c r="P45">
        <v>3</v>
      </c>
      <c r="Q45">
        <v>65</v>
      </c>
      <c r="R45">
        <v>11677</v>
      </c>
      <c r="S45">
        <v>42976</v>
      </c>
      <c r="T45">
        <v>238757</v>
      </c>
      <c r="U45" s="3">
        <v>770924</v>
      </c>
      <c r="V45">
        <v>238757</v>
      </c>
      <c r="W45">
        <v>2905879</v>
      </c>
      <c r="X45">
        <v>6146416</v>
      </c>
      <c r="Y45">
        <v>56945373413</v>
      </c>
      <c r="Z45" t="s">
        <v>189</v>
      </c>
      <c r="AA45" t="s">
        <v>188</v>
      </c>
      <c r="AB45" t="s">
        <v>187</v>
      </c>
      <c r="AC45" t="s">
        <v>186</v>
      </c>
      <c r="AD45" t="s">
        <v>185</v>
      </c>
      <c r="AE45" t="s">
        <v>184</v>
      </c>
      <c r="AF45" t="s">
        <v>183</v>
      </c>
      <c r="AG45" t="s">
        <v>58</v>
      </c>
      <c r="AH45" t="s">
        <v>0</v>
      </c>
    </row>
    <row r="46" spans="1:34" x14ac:dyDescent="0.25">
      <c r="A46">
        <v>20521</v>
      </c>
      <c r="B46" t="s">
        <v>27</v>
      </c>
      <c r="C46" t="s">
        <v>182</v>
      </c>
      <c r="D46" t="s">
        <v>47</v>
      </c>
      <c r="F46" t="s">
        <v>181</v>
      </c>
      <c r="G46">
        <v>1000205215</v>
      </c>
      <c r="H46" t="s">
        <v>11</v>
      </c>
      <c r="I46" s="1">
        <v>46118</v>
      </c>
      <c r="J46" s="1">
        <v>45561</v>
      </c>
      <c r="K46" t="s">
        <v>10</v>
      </c>
      <c r="L46">
        <v>15</v>
      </c>
      <c r="M46">
        <v>24</v>
      </c>
      <c r="N46" s="1">
        <v>46051</v>
      </c>
      <c r="O46" t="s">
        <v>74</v>
      </c>
      <c r="P46">
        <v>3</v>
      </c>
      <c r="Q46">
        <v>65</v>
      </c>
      <c r="R46">
        <v>23478</v>
      </c>
      <c r="S46">
        <v>102276</v>
      </c>
      <c r="T46">
        <v>378804</v>
      </c>
      <c r="U46" s="3">
        <v>1262166</v>
      </c>
      <c r="V46">
        <v>378804</v>
      </c>
      <c r="W46">
        <v>1777734</v>
      </c>
      <c r="X46">
        <v>7233996</v>
      </c>
      <c r="Y46">
        <v>56988889268</v>
      </c>
      <c r="Z46" t="s">
        <v>180</v>
      </c>
      <c r="AA46" t="s">
        <v>22</v>
      </c>
      <c r="AB46" t="s">
        <v>21</v>
      </c>
      <c r="AC46" t="s">
        <v>179</v>
      </c>
      <c r="AD46" t="s">
        <v>178</v>
      </c>
      <c r="AE46" t="s">
        <v>4</v>
      </c>
      <c r="AF46" t="s">
        <v>177</v>
      </c>
      <c r="AG46" t="s">
        <v>58</v>
      </c>
      <c r="AH46" t="s">
        <v>0</v>
      </c>
    </row>
    <row r="47" spans="1:34" x14ac:dyDescent="0.25">
      <c r="A47">
        <v>20987</v>
      </c>
      <c r="B47" t="s">
        <v>27</v>
      </c>
      <c r="C47" t="s">
        <v>176</v>
      </c>
      <c r="D47" t="s">
        <v>25</v>
      </c>
      <c r="E47">
        <v>55</v>
      </c>
      <c r="F47" t="s">
        <v>175</v>
      </c>
      <c r="G47">
        <v>1000209873</v>
      </c>
      <c r="H47" t="s">
        <v>34</v>
      </c>
      <c r="I47" s="1">
        <v>46118</v>
      </c>
      <c r="J47" s="1">
        <v>45565</v>
      </c>
      <c r="K47" t="s">
        <v>10</v>
      </c>
      <c r="L47">
        <v>15</v>
      </c>
      <c r="M47">
        <v>49</v>
      </c>
      <c r="N47" s="1">
        <v>46034</v>
      </c>
      <c r="O47" t="s">
        <v>74</v>
      </c>
      <c r="P47">
        <v>3</v>
      </c>
      <c r="Q47">
        <v>65</v>
      </c>
      <c r="R47">
        <v>23302</v>
      </c>
      <c r="S47">
        <v>64828</v>
      </c>
      <c r="T47">
        <v>360160</v>
      </c>
      <c r="U47" s="3">
        <v>1164116</v>
      </c>
      <c r="V47">
        <v>358662</v>
      </c>
      <c r="W47">
        <v>12509946</v>
      </c>
      <c r="X47">
        <v>14409091</v>
      </c>
      <c r="Y47">
        <v>56998874484</v>
      </c>
      <c r="Z47" t="s">
        <v>174</v>
      </c>
      <c r="AA47" t="s">
        <v>8</v>
      </c>
      <c r="AB47" t="s">
        <v>173</v>
      </c>
      <c r="AC47" t="s">
        <v>172</v>
      </c>
      <c r="AD47" t="s">
        <v>171</v>
      </c>
      <c r="AE47" t="s">
        <v>4</v>
      </c>
      <c r="AF47" t="s">
        <v>170</v>
      </c>
      <c r="AG47" t="s">
        <v>169</v>
      </c>
      <c r="AH47" t="s">
        <v>0</v>
      </c>
    </row>
    <row r="48" spans="1:34" x14ac:dyDescent="0.25">
      <c r="A48">
        <v>21488</v>
      </c>
      <c r="B48" t="s">
        <v>27</v>
      </c>
      <c r="C48" t="s">
        <v>168</v>
      </c>
      <c r="D48" t="s">
        <v>25</v>
      </c>
      <c r="E48">
        <v>40</v>
      </c>
      <c r="F48" t="s">
        <v>167</v>
      </c>
      <c r="G48">
        <v>1000214885</v>
      </c>
      <c r="H48" t="s">
        <v>11</v>
      </c>
      <c r="I48" s="1">
        <v>46118</v>
      </c>
      <c r="J48" s="1">
        <v>45595</v>
      </c>
      <c r="K48" t="s">
        <v>10</v>
      </c>
      <c r="L48">
        <v>14</v>
      </c>
      <c r="M48">
        <v>56</v>
      </c>
      <c r="N48" s="1">
        <v>46080</v>
      </c>
      <c r="O48" t="s">
        <v>74</v>
      </c>
      <c r="P48">
        <v>3</v>
      </c>
      <c r="Q48">
        <v>65</v>
      </c>
      <c r="R48">
        <v>26318</v>
      </c>
      <c r="S48">
        <v>52038</v>
      </c>
      <c r="T48">
        <v>289097</v>
      </c>
      <c r="U48" s="3">
        <v>945647</v>
      </c>
      <c r="V48">
        <v>289097</v>
      </c>
      <c r="W48">
        <v>7757739</v>
      </c>
      <c r="X48">
        <v>9908972</v>
      </c>
      <c r="Y48">
        <v>56977666745</v>
      </c>
      <c r="Z48" t="s">
        <v>166</v>
      </c>
      <c r="AA48" t="s">
        <v>22</v>
      </c>
      <c r="AB48" t="s">
        <v>21</v>
      </c>
      <c r="AC48" t="s">
        <v>165</v>
      </c>
      <c r="AD48" t="s">
        <v>164</v>
      </c>
      <c r="AE48" t="s">
        <v>4</v>
      </c>
      <c r="AF48" t="s">
        <v>163</v>
      </c>
      <c r="AG48" t="s">
        <v>58</v>
      </c>
      <c r="AH48" t="s">
        <v>0</v>
      </c>
    </row>
    <row r="49" spans="1:34" x14ac:dyDescent="0.25">
      <c r="A49">
        <v>23142</v>
      </c>
      <c r="B49" t="s">
        <v>27</v>
      </c>
      <c r="C49" t="s">
        <v>162</v>
      </c>
      <c r="D49" t="s">
        <v>13</v>
      </c>
      <c r="E49">
        <v>34</v>
      </c>
      <c r="F49" t="s">
        <v>161</v>
      </c>
      <c r="G49">
        <v>1000231429</v>
      </c>
      <c r="H49" t="s">
        <v>11</v>
      </c>
      <c r="I49" s="1">
        <v>46118</v>
      </c>
      <c r="J49" s="1">
        <v>45688</v>
      </c>
      <c r="K49" t="s">
        <v>10</v>
      </c>
      <c r="L49">
        <v>11</v>
      </c>
      <c r="M49">
        <v>36</v>
      </c>
      <c r="N49" s="1">
        <v>46035</v>
      </c>
      <c r="O49" t="s">
        <v>74</v>
      </c>
      <c r="P49">
        <v>3</v>
      </c>
      <c r="Q49">
        <v>65</v>
      </c>
      <c r="R49">
        <v>18336</v>
      </c>
      <c r="S49">
        <v>51010</v>
      </c>
      <c r="T49">
        <v>283386</v>
      </c>
      <c r="U49" s="3">
        <v>919504</v>
      </c>
      <c r="V49">
        <v>283386</v>
      </c>
      <c r="W49">
        <v>4818337</v>
      </c>
      <c r="X49">
        <v>8250705</v>
      </c>
      <c r="Y49">
        <v>56934433573</v>
      </c>
      <c r="Z49" t="s">
        <v>160</v>
      </c>
      <c r="AA49" t="s">
        <v>54</v>
      </c>
      <c r="AB49" t="s">
        <v>53</v>
      </c>
      <c r="AC49" t="s">
        <v>159</v>
      </c>
      <c r="AD49" t="s">
        <v>158</v>
      </c>
      <c r="AE49" t="s">
        <v>4</v>
      </c>
      <c r="AF49" t="s">
        <v>157</v>
      </c>
      <c r="AG49" t="s">
        <v>49</v>
      </c>
      <c r="AH49" t="s">
        <v>0</v>
      </c>
    </row>
    <row r="50" spans="1:34" x14ac:dyDescent="0.25">
      <c r="A50">
        <v>24000</v>
      </c>
      <c r="B50" t="s">
        <v>27</v>
      </c>
      <c r="C50" t="s">
        <v>156</v>
      </c>
      <c r="D50" t="s">
        <v>13</v>
      </c>
      <c r="E50">
        <v>24</v>
      </c>
      <c r="F50" t="s">
        <v>155</v>
      </c>
      <c r="G50">
        <v>1000240002</v>
      </c>
      <c r="H50" t="s">
        <v>34</v>
      </c>
      <c r="I50" s="1">
        <v>46118</v>
      </c>
      <c r="J50" s="1">
        <v>45716</v>
      </c>
      <c r="K50" t="s">
        <v>10</v>
      </c>
      <c r="L50">
        <v>10</v>
      </c>
      <c r="M50">
        <v>49</v>
      </c>
      <c r="N50" s="1">
        <v>46021</v>
      </c>
      <c r="O50" t="s">
        <v>74</v>
      </c>
      <c r="P50">
        <v>3</v>
      </c>
      <c r="Q50">
        <v>65</v>
      </c>
      <c r="R50">
        <v>17675</v>
      </c>
      <c r="S50">
        <v>65066</v>
      </c>
      <c r="T50">
        <v>361477</v>
      </c>
      <c r="U50" s="3">
        <v>1167172</v>
      </c>
      <c r="V50">
        <v>361477</v>
      </c>
      <c r="W50">
        <v>11823575</v>
      </c>
      <c r="X50">
        <v>13476882</v>
      </c>
      <c r="Y50">
        <v>56937324367</v>
      </c>
      <c r="Z50" t="s">
        <v>154</v>
      </c>
      <c r="AA50" t="s">
        <v>22</v>
      </c>
      <c r="AB50" t="s">
        <v>21</v>
      </c>
      <c r="AC50" t="s">
        <v>153</v>
      </c>
      <c r="AD50" t="s">
        <v>152</v>
      </c>
      <c r="AE50" t="s">
        <v>4</v>
      </c>
      <c r="AF50" t="s">
        <v>151</v>
      </c>
      <c r="AG50" t="s">
        <v>29</v>
      </c>
      <c r="AH50" t="s">
        <v>0</v>
      </c>
    </row>
    <row r="51" spans="1:34" x14ac:dyDescent="0.25">
      <c r="A51">
        <v>25278</v>
      </c>
      <c r="B51" t="s">
        <v>27</v>
      </c>
      <c r="C51" t="s">
        <v>150</v>
      </c>
      <c r="D51" t="s">
        <v>25</v>
      </c>
      <c r="E51">
        <v>38</v>
      </c>
      <c r="F51" t="s">
        <v>149</v>
      </c>
      <c r="G51">
        <v>1000252787</v>
      </c>
      <c r="H51" t="s">
        <v>11</v>
      </c>
      <c r="I51" s="1">
        <v>46118</v>
      </c>
      <c r="J51" s="1">
        <v>45769</v>
      </c>
      <c r="K51" t="s">
        <v>10</v>
      </c>
      <c r="L51">
        <v>8</v>
      </c>
      <c r="M51">
        <v>35</v>
      </c>
      <c r="N51" s="1">
        <v>46048</v>
      </c>
      <c r="O51" t="s">
        <v>74</v>
      </c>
      <c r="P51">
        <v>3</v>
      </c>
      <c r="Q51">
        <v>65</v>
      </c>
      <c r="R51">
        <v>15873</v>
      </c>
      <c r="S51">
        <v>69159</v>
      </c>
      <c r="T51">
        <v>256139</v>
      </c>
      <c r="U51" s="3">
        <v>853449</v>
      </c>
      <c r="V51">
        <v>256139</v>
      </c>
      <c r="W51">
        <v>5095918</v>
      </c>
      <c r="X51">
        <v>7255808</v>
      </c>
      <c r="Y51">
        <v>56991586815</v>
      </c>
      <c r="Z51" t="s">
        <v>148</v>
      </c>
      <c r="AA51" t="s">
        <v>22</v>
      </c>
      <c r="AB51" t="s">
        <v>21</v>
      </c>
      <c r="AC51" t="s">
        <v>84</v>
      </c>
      <c r="AD51" t="s">
        <v>147</v>
      </c>
      <c r="AE51" t="s">
        <v>4</v>
      </c>
      <c r="AF51" t="s">
        <v>146</v>
      </c>
      <c r="AG51" t="s">
        <v>58</v>
      </c>
      <c r="AH51" t="s">
        <v>0</v>
      </c>
    </row>
    <row r="52" spans="1:34" x14ac:dyDescent="0.25">
      <c r="A52">
        <v>26899</v>
      </c>
      <c r="B52" t="s">
        <v>27</v>
      </c>
      <c r="C52" t="s">
        <v>145</v>
      </c>
      <c r="D52" t="s">
        <v>13</v>
      </c>
      <c r="E52">
        <v>41</v>
      </c>
      <c r="F52" t="s">
        <v>144</v>
      </c>
      <c r="G52">
        <v>1000268993</v>
      </c>
      <c r="H52" t="s">
        <v>11</v>
      </c>
      <c r="I52" s="1">
        <v>46118</v>
      </c>
      <c r="J52" s="1">
        <v>45831</v>
      </c>
      <c r="K52" t="s">
        <v>10</v>
      </c>
      <c r="L52">
        <v>6</v>
      </c>
      <c r="M52">
        <v>34</v>
      </c>
      <c r="N52" s="1">
        <v>46113</v>
      </c>
      <c r="O52" t="s">
        <v>74</v>
      </c>
      <c r="P52">
        <v>3</v>
      </c>
      <c r="Q52">
        <v>65</v>
      </c>
      <c r="R52">
        <v>28327</v>
      </c>
      <c r="S52">
        <v>55448</v>
      </c>
      <c r="T52">
        <v>308047</v>
      </c>
      <c r="U52" s="3">
        <v>717176</v>
      </c>
      <c r="V52">
        <v>308047</v>
      </c>
      <c r="W52">
        <v>5957762</v>
      </c>
      <c r="X52">
        <v>7802601</v>
      </c>
      <c r="Y52">
        <v>56973797707</v>
      </c>
      <c r="Z52" t="s">
        <v>143</v>
      </c>
      <c r="AA52" t="s">
        <v>22</v>
      </c>
      <c r="AB52" t="s">
        <v>21</v>
      </c>
      <c r="AC52" t="s">
        <v>142</v>
      </c>
      <c r="AD52" t="s">
        <v>141</v>
      </c>
      <c r="AE52" t="s">
        <v>4</v>
      </c>
      <c r="AF52" t="s">
        <v>135</v>
      </c>
      <c r="AG52" t="s">
        <v>58</v>
      </c>
      <c r="AH52" t="s">
        <v>0</v>
      </c>
    </row>
    <row r="53" spans="1:34" x14ac:dyDescent="0.25">
      <c r="A53">
        <v>28145</v>
      </c>
      <c r="B53" t="s">
        <v>27</v>
      </c>
      <c r="C53" t="s">
        <v>140</v>
      </c>
      <c r="D53" t="s">
        <v>25</v>
      </c>
      <c r="E53">
        <v>42</v>
      </c>
      <c r="F53" t="s">
        <v>139</v>
      </c>
      <c r="G53">
        <v>1000281450</v>
      </c>
      <c r="H53" t="s">
        <v>11</v>
      </c>
      <c r="I53" s="1">
        <v>46118</v>
      </c>
      <c r="J53" s="1">
        <v>45861</v>
      </c>
      <c r="K53" t="s">
        <v>10</v>
      </c>
      <c r="L53">
        <v>5</v>
      </c>
      <c r="M53">
        <v>52</v>
      </c>
      <c r="N53" s="1">
        <v>46042</v>
      </c>
      <c r="O53" t="s">
        <v>74</v>
      </c>
      <c r="P53">
        <v>3</v>
      </c>
      <c r="Q53">
        <v>65</v>
      </c>
      <c r="R53">
        <v>17323</v>
      </c>
      <c r="S53">
        <v>41944</v>
      </c>
      <c r="T53">
        <v>233017</v>
      </c>
      <c r="U53" s="3">
        <v>758318</v>
      </c>
      <c r="V53">
        <v>233017</v>
      </c>
      <c r="W53">
        <v>6785750</v>
      </c>
      <c r="X53">
        <v>7642905</v>
      </c>
      <c r="Y53">
        <v>56986694781</v>
      </c>
      <c r="Z53" t="s">
        <v>138</v>
      </c>
      <c r="AA53" t="s">
        <v>22</v>
      </c>
      <c r="AB53" t="s">
        <v>21</v>
      </c>
      <c r="AC53" t="s">
        <v>137</v>
      </c>
      <c r="AD53" t="s">
        <v>136</v>
      </c>
      <c r="AE53" t="s">
        <v>4</v>
      </c>
      <c r="AF53" t="s">
        <v>135</v>
      </c>
      <c r="AG53" t="s">
        <v>58</v>
      </c>
      <c r="AH53" t="s">
        <v>0</v>
      </c>
    </row>
    <row r="54" spans="1:34" x14ac:dyDescent="0.25">
      <c r="A54">
        <v>29037</v>
      </c>
      <c r="B54" t="s">
        <v>27</v>
      </c>
      <c r="C54" t="s">
        <v>134</v>
      </c>
      <c r="D54" t="s">
        <v>25</v>
      </c>
      <c r="E54">
        <v>51</v>
      </c>
      <c r="F54" t="s">
        <v>133</v>
      </c>
      <c r="G54">
        <v>1000290379</v>
      </c>
      <c r="H54" t="s">
        <v>11</v>
      </c>
      <c r="I54" s="1">
        <v>46118</v>
      </c>
      <c r="J54" s="1">
        <v>45880</v>
      </c>
      <c r="K54" t="s">
        <v>10</v>
      </c>
      <c r="L54">
        <v>4</v>
      </c>
      <c r="M54">
        <v>54</v>
      </c>
      <c r="N54" s="1">
        <v>46035</v>
      </c>
      <c r="O54" t="s">
        <v>74</v>
      </c>
      <c r="P54">
        <v>3</v>
      </c>
      <c r="Q54">
        <v>65</v>
      </c>
      <c r="R54">
        <v>31198</v>
      </c>
      <c r="S54">
        <v>95414</v>
      </c>
      <c r="T54">
        <v>596107</v>
      </c>
      <c r="U54" s="3">
        <v>1914933</v>
      </c>
      <c r="V54">
        <v>596107</v>
      </c>
      <c r="W54">
        <v>18627291</v>
      </c>
      <c r="X54">
        <v>20677310</v>
      </c>
      <c r="Y54">
        <v>56995342043</v>
      </c>
      <c r="Z54" t="s">
        <v>132</v>
      </c>
      <c r="AA54" t="s">
        <v>22</v>
      </c>
      <c r="AB54" t="s">
        <v>21</v>
      </c>
      <c r="AC54" t="s">
        <v>131</v>
      </c>
      <c r="AD54" t="s">
        <v>130</v>
      </c>
      <c r="AE54" t="s">
        <v>97</v>
      </c>
      <c r="AF54" t="s">
        <v>129</v>
      </c>
      <c r="AG54" t="s">
        <v>58</v>
      </c>
      <c r="AH54" t="s">
        <v>0</v>
      </c>
    </row>
    <row r="55" spans="1:34" x14ac:dyDescent="0.25">
      <c r="A55">
        <v>32689</v>
      </c>
      <c r="B55" t="s">
        <v>27</v>
      </c>
      <c r="C55" t="s">
        <v>128</v>
      </c>
      <c r="D55" t="s">
        <v>25</v>
      </c>
      <c r="E55">
        <v>33</v>
      </c>
      <c r="F55" t="s">
        <v>127</v>
      </c>
      <c r="G55">
        <v>1000326896</v>
      </c>
      <c r="H55" t="s">
        <v>11</v>
      </c>
      <c r="I55" s="1">
        <v>46118</v>
      </c>
      <c r="J55" s="1">
        <v>45953</v>
      </c>
      <c r="K55" t="s">
        <v>45</v>
      </c>
      <c r="L55">
        <v>2</v>
      </c>
      <c r="M55">
        <v>47</v>
      </c>
      <c r="N55" s="1">
        <v>46044</v>
      </c>
      <c r="O55" t="s">
        <v>74</v>
      </c>
      <c r="P55">
        <v>3</v>
      </c>
      <c r="Q55">
        <v>65</v>
      </c>
      <c r="R55">
        <v>12308</v>
      </c>
      <c r="S55">
        <v>45310</v>
      </c>
      <c r="T55">
        <v>251717</v>
      </c>
      <c r="U55" s="3">
        <v>812769</v>
      </c>
      <c r="V55">
        <v>251717</v>
      </c>
      <c r="W55">
        <v>7046444</v>
      </c>
      <c r="X55">
        <v>7694043</v>
      </c>
      <c r="Y55">
        <v>56948862788</v>
      </c>
      <c r="Z55" t="s">
        <v>126</v>
      </c>
      <c r="AA55" t="s">
        <v>22</v>
      </c>
      <c r="AB55" t="s">
        <v>125</v>
      </c>
      <c r="AC55" t="s">
        <v>124</v>
      </c>
      <c r="AD55" t="s">
        <v>123</v>
      </c>
      <c r="AE55" t="s">
        <v>4</v>
      </c>
      <c r="AF55" t="s">
        <v>122</v>
      </c>
      <c r="AG55" t="s">
        <v>58</v>
      </c>
      <c r="AH55" t="s">
        <v>0</v>
      </c>
    </row>
    <row r="56" spans="1:34" x14ac:dyDescent="0.25">
      <c r="A56">
        <v>36241</v>
      </c>
      <c r="B56" t="s">
        <v>27</v>
      </c>
      <c r="C56" t="s">
        <v>121</v>
      </c>
      <c r="D56" t="s">
        <v>13</v>
      </c>
      <c r="E56">
        <v>58</v>
      </c>
      <c r="F56" t="s">
        <v>120</v>
      </c>
      <c r="G56">
        <v>1000362418</v>
      </c>
      <c r="H56" t="s">
        <v>34</v>
      </c>
      <c r="I56" s="1">
        <v>46118</v>
      </c>
      <c r="J56" s="1">
        <v>46021</v>
      </c>
      <c r="K56" t="s">
        <v>10</v>
      </c>
      <c r="L56">
        <v>0</v>
      </c>
      <c r="M56">
        <v>49</v>
      </c>
      <c r="O56" t="s">
        <v>74</v>
      </c>
      <c r="P56">
        <v>3</v>
      </c>
      <c r="Q56">
        <v>65</v>
      </c>
      <c r="R56">
        <v>22049</v>
      </c>
      <c r="S56">
        <v>77990</v>
      </c>
      <c r="T56">
        <v>450906</v>
      </c>
      <c r="U56" s="3">
        <v>1448566</v>
      </c>
      <c r="V56">
        <v>449509</v>
      </c>
      <c r="W56">
        <v>18334856</v>
      </c>
      <c r="X56">
        <v>18844839</v>
      </c>
      <c r="Y56">
        <v>56982057371</v>
      </c>
      <c r="Z56" t="s">
        <v>119</v>
      </c>
      <c r="AA56" t="s">
        <v>22</v>
      </c>
      <c r="AB56" t="s">
        <v>21</v>
      </c>
      <c r="AC56" t="s">
        <v>84</v>
      </c>
      <c r="AD56" t="s">
        <v>118</v>
      </c>
      <c r="AE56" t="s">
        <v>97</v>
      </c>
      <c r="AF56" t="s">
        <v>117</v>
      </c>
      <c r="AG56" t="s">
        <v>116</v>
      </c>
      <c r="AH56" t="s">
        <v>0</v>
      </c>
    </row>
    <row r="57" spans="1:34" x14ac:dyDescent="0.25">
      <c r="A57">
        <v>7337</v>
      </c>
      <c r="B57" t="s">
        <v>27</v>
      </c>
      <c r="C57" t="s">
        <v>114</v>
      </c>
      <c r="D57" t="s">
        <v>13</v>
      </c>
      <c r="E57">
        <v>46</v>
      </c>
      <c r="F57" t="s">
        <v>113</v>
      </c>
      <c r="G57">
        <v>1000073378</v>
      </c>
      <c r="H57" t="s">
        <v>11</v>
      </c>
      <c r="I57" s="1">
        <v>46118</v>
      </c>
      <c r="J57" s="1">
        <v>44895</v>
      </c>
      <c r="K57" t="s">
        <v>10</v>
      </c>
      <c r="L57">
        <v>36</v>
      </c>
      <c r="M57">
        <v>48</v>
      </c>
      <c r="N57" s="1">
        <v>46027</v>
      </c>
      <c r="O57" t="s">
        <v>37</v>
      </c>
      <c r="P57">
        <v>4</v>
      </c>
      <c r="Q57">
        <v>96</v>
      </c>
      <c r="R57">
        <v>38630</v>
      </c>
      <c r="S57">
        <v>94989</v>
      </c>
      <c r="T57">
        <v>351809</v>
      </c>
      <c r="U57" s="3">
        <v>1540855</v>
      </c>
      <c r="V57">
        <v>351809</v>
      </c>
      <c r="W57">
        <v>2246932</v>
      </c>
      <c r="X57">
        <v>10922545</v>
      </c>
      <c r="Y57">
        <v>56965442290</v>
      </c>
      <c r="Z57" t="s">
        <v>112</v>
      </c>
      <c r="AA57" t="s">
        <v>22</v>
      </c>
      <c r="AB57" t="s">
        <v>21</v>
      </c>
      <c r="AC57" t="s">
        <v>111</v>
      </c>
      <c r="AD57" t="s">
        <v>110</v>
      </c>
      <c r="AE57" t="s">
        <v>97</v>
      </c>
      <c r="AF57" t="s">
        <v>109</v>
      </c>
      <c r="AG57" t="s">
        <v>95</v>
      </c>
      <c r="AH57" t="s">
        <v>0</v>
      </c>
    </row>
    <row r="58" spans="1:34" x14ac:dyDescent="0.25">
      <c r="A58">
        <v>10386</v>
      </c>
      <c r="B58" t="s">
        <v>27</v>
      </c>
      <c r="C58" t="s">
        <v>108</v>
      </c>
      <c r="D58" t="s">
        <v>47</v>
      </c>
      <c r="F58" t="s">
        <v>107</v>
      </c>
      <c r="G58">
        <v>1000103862</v>
      </c>
      <c r="H58" t="s">
        <v>11</v>
      </c>
      <c r="I58" s="1">
        <v>46118</v>
      </c>
      <c r="J58" s="1">
        <v>45077</v>
      </c>
      <c r="K58" t="s">
        <v>10</v>
      </c>
      <c r="L58">
        <v>30</v>
      </c>
      <c r="M58">
        <v>36</v>
      </c>
      <c r="N58" s="1">
        <v>46008</v>
      </c>
      <c r="O58" t="s">
        <v>37</v>
      </c>
      <c r="P58">
        <v>4</v>
      </c>
      <c r="Q58">
        <v>96</v>
      </c>
      <c r="R58">
        <v>108835</v>
      </c>
      <c r="S58">
        <v>199914</v>
      </c>
      <c r="T58">
        <v>911738</v>
      </c>
      <c r="U58" s="3">
        <v>3955701</v>
      </c>
      <c r="V58">
        <v>911738</v>
      </c>
      <c r="W58">
        <v>896408</v>
      </c>
      <c r="X58">
        <v>24530252</v>
      </c>
      <c r="Y58">
        <v>56994185078</v>
      </c>
      <c r="Z58" t="s">
        <v>106</v>
      </c>
      <c r="AA58" t="s">
        <v>8</v>
      </c>
      <c r="AB58" t="s">
        <v>63</v>
      </c>
      <c r="AC58" t="s">
        <v>105</v>
      </c>
      <c r="AD58" t="s">
        <v>104</v>
      </c>
      <c r="AE58" t="s">
        <v>4</v>
      </c>
      <c r="AF58" t="s">
        <v>103</v>
      </c>
      <c r="AG58" t="s">
        <v>102</v>
      </c>
      <c r="AH58" t="s">
        <v>0</v>
      </c>
    </row>
    <row r="59" spans="1:34" x14ac:dyDescent="0.25">
      <c r="A59">
        <v>13748</v>
      </c>
      <c r="B59" t="s">
        <v>27</v>
      </c>
      <c r="C59" t="s">
        <v>101</v>
      </c>
      <c r="D59" t="s">
        <v>13</v>
      </c>
      <c r="E59">
        <v>40</v>
      </c>
      <c r="F59" t="s">
        <v>100</v>
      </c>
      <c r="G59">
        <v>1000137481</v>
      </c>
      <c r="H59" t="s">
        <v>34</v>
      </c>
      <c r="I59" s="1">
        <v>46118</v>
      </c>
      <c r="J59" s="1">
        <v>45215</v>
      </c>
      <c r="K59" t="s">
        <v>10</v>
      </c>
      <c r="L59">
        <v>25</v>
      </c>
      <c r="M59">
        <v>49</v>
      </c>
      <c r="N59" s="1">
        <v>46014</v>
      </c>
      <c r="O59" t="s">
        <v>37</v>
      </c>
      <c r="P59">
        <v>4</v>
      </c>
      <c r="Q59">
        <v>96</v>
      </c>
      <c r="R59">
        <v>73976</v>
      </c>
      <c r="S59">
        <v>177166</v>
      </c>
      <c r="T59">
        <v>539408</v>
      </c>
      <c r="U59" s="3">
        <v>2408774</v>
      </c>
      <c r="V59">
        <v>539408</v>
      </c>
      <c r="W59">
        <v>14904270</v>
      </c>
      <c r="X59">
        <v>20928552</v>
      </c>
      <c r="Y59">
        <v>56989240809</v>
      </c>
      <c r="Z59" t="s">
        <v>99</v>
      </c>
      <c r="AA59" t="s">
        <v>22</v>
      </c>
      <c r="AB59" t="s">
        <v>21</v>
      </c>
      <c r="AC59" t="s">
        <v>20</v>
      </c>
      <c r="AD59" t="s">
        <v>98</v>
      </c>
      <c r="AE59" t="s">
        <v>97</v>
      </c>
      <c r="AF59" t="s">
        <v>96</v>
      </c>
      <c r="AG59" t="s">
        <v>95</v>
      </c>
      <c r="AH59" t="s">
        <v>0</v>
      </c>
    </row>
    <row r="60" spans="1:34" x14ac:dyDescent="0.25">
      <c r="A60">
        <v>15799</v>
      </c>
      <c r="B60" t="s">
        <v>27</v>
      </c>
      <c r="C60" t="s">
        <v>94</v>
      </c>
      <c r="D60" t="s">
        <v>13</v>
      </c>
      <c r="E60">
        <v>31</v>
      </c>
      <c r="F60" t="s">
        <v>93</v>
      </c>
      <c r="G60">
        <v>1000157997</v>
      </c>
      <c r="H60" t="s">
        <v>11</v>
      </c>
      <c r="I60" s="1">
        <v>46118</v>
      </c>
      <c r="J60" s="1">
        <v>45331</v>
      </c>
      <c r="K60" t="s">
        <v>10</v>
      </c>
      <c r="L60">
        <v>21</v>
      </c>
      <c r="M60">
        <v>36</v>
      </c>
      <c r="N60" s="1">
        <v>46051</v>
      </c>
      <c r="O60" t="s">
        <v>37</v>
      </c>
      <c r="P60">
        <v>4</v>
      </c>
      <c r="Q60">
        <v>96</v>
      </c>
      <c r="R60">
        <v>20264</v>
      </c>
      <c r="S60">
        <v>87123</v>
      </c>
      <c r="T60">
        <v>322683</v>
      </c>
      <c r="U60" s="3">
        <v>1081579</v>
      </c>
      <c r="V60">
        <v>322683</v>
      </c>
      <c r="W60">
        <v>2884983</v>
      </c>
      <c r="X60">
        <v>8369650</v>
      </c>
      <c r="Y60">
        <v>56956400668</v>
      </c>
      <c r="Z60" t="s">
        <v>92</v>
      </c>
      <c r="AA60" t="s">
        <v>91</v>
      </c>
      <c r="AB60" t="s">
        <v>91</v>
      </c>
      <c r="AC60" t="s">
        <v>91</v>
      </c>
      <c r="AD60" t="s">
        <v>90</v>
      </c>
      <c r="AE60" t="s">
        <v>4</v>
      </c>
      <c r="AF60" t="s">
        <v>89</v>
      </c>
      <c r="AG60" t="s">
        <v>88</v>
      </c>
      <c r="AH60" t="s">
        <v>0</v>
      </c>
    </row>
    <row r="61" spans="1:34" x14ac:dyDescent="0.25">
      <c r="A61">
        <v>18341</v>
      </c>
      <c r="B61" t="s">
        <v>27</v>
      </c>
      <c r="C61" t="s">
        <v>87</v>
      </c>
      <c r="D61" t="s">
        <v>13</v>
      </c>
      <c r="E61">
        <v>43</v>
      </c>
      <c r="F61" t="s">
        <v>86</v>
      </c>
      <c r="G61">
        <v>1000183416</v>
      </c>
      <c r="H61" t="s">
        <v>34</v>
      </c>
      <c r="I61" s="1">
        <v>46118</v>
      </c>
      <c r="J61" s="1">
        <v>45442</v>
      </c>
      <c r="K61" t="s">
        <v>10</v>
      </c>
      <c r="L61">
        <v>18</v>
      </c>
      <c r="M61">
        <v>37</v>
      </c>
      <c r="N61" s="1">
        <v>46052</v>
      </c>
      <c r="O61" t="s">
        <v>37</v>
      </c>
      <c r="P61">
        <v>4</v>
      </c>
      <c r="Q61">
        <v>96</v>
      </c>
      <c r="R61">
        <v>52366</v>
      </c>
      <c r="S61">
        <v>219795</v>
      </c>
      <c r="T61">
        <v>412227</v>
      </c>
      <c r="U61" s="3">
        <v>1804963</v>
      </c>
      <c r="V61">
        <v>410649</v>
      </c>
      <c r="W61">
        <v>9961574</v>
      </c>
      <c r="X61">
        <v>14042179</v>
      </c>
      <c r="Y61">
        <v>56997308587</v>
      </c>
      <c r="Z61" t="s">
        <v>85</v>
      </c>
      <c r="AA61" t="s">
        <v>22</v>
      </c>
      <c r="AB61" t="s">
        <v>21</v>
      </c>
      <c r="AC61" t="s">
        <v>84</v>
      </c>
      <c r="AD61" t="s">
        <v>83</v>
      </c>
      <c r="AE61" t="s">
        <v>4</v>
      </c>
      <c r="AF61" t="s">
        <v>82</v>
      </c>
      <c r="AG61" t="s">
        <v>81</v>
      </c>
      <c r="AH61" t="s">
        <v>0</v>
      </c>
    </row>
    <row r="62" spans="1:34" x14ac:dyDescent="0.25">
      <c r="A62">
        <v>32456</v>
      </c>
      <c r="B62" t="s">
        <v>27</v>
      </c>
      <c r="C62" t="s">
        <v>80</v>
      </c>
      <c r="D62" t="s">
        <v>25</v>
      </c>
      <c r="E62">
        <v>33</v>
      </c>
      <c r="F62" t="s">
        <v>79</v>
      </c>
      <c r="G62">
        <v>1000324567</v>
      </c>
      <c r="H62" t="s">
        <v>11</v>
      </c>
      <c r="I62" s="1">
        <v>46118</v>
      </c>
      <c r="J62" s="1">
        <v>45961</v>
      </c>
      <c r="K62" t="s">
        <v>45</v>
      </c>
      <c r="L62">
        <v>1</v>
      </c>
      <c r="M62">
        <v>48</v>
      </c>
      <c r="N62" s="1">
        <v>46002</v>
      </c>
      <c r="O62" t="s">
        <v>37</v>
      </c>
      <c r="P62">
        <v>4</v>
      </c>
      <c r="Q62">
        <v>96</v>
      </c>
      <c r="R62">
        <v>47198</v>
      </c>
      <c r="S62">
        <v>114141</v>
      </c>
      <c r="T62">
        <v>435227</v>
      </c>
      <c r="U62" s="3">
        <v>1902247</v>
      </c>
      <c r="V62">
        <v>435227</v>
      </c>
      <c r="W62">
        <v>11896075</v>
      </c>
      <c r="X62">
        <v>12898410</v>
      </c>
      <c r="Y62">
        <v>974190633</v>
      </c>
      <c r="Z62" t="s">
        <v>78</v>
      </c>
      <c r="AA62" t="s">
        <v>22</v>
      </c>
      <c r="AB62" t="s">
        <v>21</v>
      </c>
      <c r="AC62" t="s">
        <v>32</v>
      </c>
      <c r="AD62" t="s">
        <v>77</v>
      </c>
      <c r="AE62" t="s">
        <v>76</v>
      </c>
      <c r="AF62" t="s">
        <v>75</v>
      </c>
      <c r="AG62" t="s">
        <v>29</v>
      </c>
      <c r="AH62" t="s">
        <v>0</v>
      </c>
    </row>
    <row r="63" spans="1:34" x14ac:dyDescent="0.25">
      <c r="A63">
        <v>28719</v>
      </c>
      <c r="B63" t="s">
        <v>27</v>
      </c>
      <c r="C63" t="s">
        <v>73</v>
      </c>
      <c r="D63" t="s">
        <v>13</v>
      </c>
      <c r="E63">
        <v>43</v>
      </c>
      <c r="F63" t="s">
        <v>72</v>
      </c>
      <c r="G63">
        <v>1000287190</v>
      </c>
      <c r="H63" t="s">
        <v>11</v>
      </c>
      <c r="I63" s="1">
        <v>46118</v>
      </c>
      <c r="J63" s="1">
        <v>45888</v>
      </c>
      <c r="K63" t="s">
        <v>45</v>
      </c>
      <c r="L63">
        <v>2</v>
      </c>
      <c r="M63">
        <v>36</v>
      </c>
      <c r="N63" s="1">
        <v>46062</v>
      </c>
      <c r="O63" t="s">
        <v>28</v>
      </c>
      <c r="P63">
        <v>5</v>
      </c>
      <c r="Q63">
        <v>127</v>
      </c>
      <c r="R63">
        <v>104974</v>
      </c>
      <c r="S63">
        <v>154458</v>
      </c>
      <c r="T63">
        <v>444786</v>
      </c>
      <c r="U63" s="3">
        <v>2483362</v>
      </c>
      <c r="V63">
        <v>444786</v>
      </c>
      <c r="W63">
        <v>9182408</v>
      </c>
      <c r="X63">
        <v>10983088</v>
      </c>
      <c r="Y63">
        <v>56961591856</v>
      </c>
      <c r="Z63" t="s">
        <v>71</v>
      </c>
      <c r="AA63" t="s">
        <v>54</v>
      </c>
      <c r="AB63" t="s">
        <v>53</v>
      </c>
      <c r="AC63" t="s">
        <v>70</v>
      </c>
      <c r="AD63" t="s">
        <v>69</v>
      </c>
      <c r="AE63" t="s">
        <v>68</v>
      </c>
      <c r="AF63" t="s">
        <v>67</v>
      </c>
      <c r="AG63" t="s">
        <v>49</v>
      </c>
      <c r="AH63" t="s">
        <v>0</v>
      </c>
    </row>
    <row r="64" spans="1:34" x14ac:dyDescent="0.25">
      <c r="A64">
        <v>27000</v>
      </c>
      <c r="B64" t="s">
        <v>27</v>
      </c>
      <c r="C64" t="s">
        <v>66</v>
      </c>
      <c r="D64" t="s">
        <v>13</v>
      </c>
      <c r="E64">
        <v>53</v>
      </c>
      <c r="F64" t="s">
        <v>65</v>
      </c>
      <c r="G64">
        <v>1000270009</v>
      </c>
      <c r="H64" t="s">
        <v>11</v>
      </c>
      <c r="I64" s="1">
        <v>46118</v>
      </c>
      <c r="J64" s="1">
        <v>45832</v>
      </c>
      <c r="K64" t="s">
        <v>10</v>
      </c>
      <c r="L64">
        <v>4</v>
      </c>
      <c r="M64">
        <v>24</v>
      </c>
      <c r="N64" s="1">
        <v>45989</v>
      </c>
      <c r="O64" t="s">
        <v>28</v>
      </c>
      <c r="P64">
        <v>5</v>
      </c>
      <c r="Q64">
        <v>127</v>
      </c>
      <c r="R64">
        <v>187760</v>
      </c>
      <c r="S64">
        <v>347796</v>
      </c>
      <c r="T64">
        <v>960648</v>
      </c>
      <c r="U64" s="3">
        <v>5338796</v>
      </c>
      <c r="V64">
        <v>960648</v>
      </c>
      <c r="W64">
        <v>11472905</v>
      </c>
      <c r="X64">
        <v>17934701</v>
      </c>
      <c r="Y64">
        <v>56999911449</v>
      </c>
      <c r="Z64" t="s">
        <v>64</v>
      </c>
      <c r="AA64" t="s">
        <v>8</v>
      </c>
      <c r="AB64" t="s">
        <v>63</v>
      </c>
      <c r="AC64" t="s">
        <v>62</v>
      </c>
      <c r="AD64" t="s">
        <v>61</v>
      </c>
      <c r="AE64" t="s">
        <v>60</v>
      </c>
      <c r="AF64" t="s">
        <v>59</v>
      </c>
      <c r="AG64" t="s">
        <v>58</v>
      </c>
      <c r="AH64" t="s">
        <v>0</v>
      </c>
    </row>
    <row r="65" spans="1:34" x14ac:dyDescent="0.25">
      <c r="A65">
        <v>11253</v>
      </c>
      <c r="B65" t="s">
        <v>27</v>
      </c>
      <c r="C65" t="s">
        <v>57</v>
      </c>
      <c r="D65" t="s">
        <v>13</v>
      </c>
      <c r="E65">
        <v>44</v>
      </c>
      <c r="F65" t="s">
        <v>56</v>
      </c>
      <c r="G65">
        <v>1000112535</v>
      </c>
      <c r="H65" t="s">
        <v>11</v>
      </c>
      <c r="I65" s="1">
        <v>46118</v>
      </c>
      <c r="J65" s="1">
        <v>45119</v>
      </c>
      <c r="K65" t="s">
        <v>10</v>
      </c>
      <c r="L65">
        <v>27</v>
      </c>
      <c r="M65">
        <v>48</v>
      </c>
      <c r="N65" s="1">
        <v>45959</v>
      </c>
      <c r="O65" t="s">
        <v>28</v>
      </c>
      <c r="P65">
        <v>5</v>
      </c>
      <c r="Q65">
        <v>127</v>
      </c>
      <c r="R65">
        <v>48355</v>
      </c>
      <c r="S65">
        <v>95440</v>
      </c>
      <c r="T65">
        <v>265113</v>
      </c>
      <c r="U65" s="3">
        <v>1469360</v>
      </c>
      <c r="V65">
        <v>265113</v>
      </c>
      <c r="W65">
        <v>3395186</v>
      </c>
      <c r="X65">
        <v>8402252</v>
      </c>
      <c r="Y65">
        <v>56950153259</v>
      </c>
      <c r="Z65" t="s">
        <v>55</v>
      </c>
      <c r="AA65" t="s">
        <v>54</v>
      </c>
      <c r="AB65" t="s">
        <v>53</v>
      </c>
      <c r="AC65" t="s">
        <v>52</v>
      </c>
      <c r="AD65" t="s">
        <v>51</v>
      </c>
      <c r="AE65" t="s">
        <v>4</v>
      </c>
      <c r="AF65" t="s">
        <v>50</v>
      </c>
      <c r="AG65" t="s">
        <v>49</v>
      </c>
      <c r="AH65" t="s">
        <v>0</v>
      </c>
    </row>
    <row r="66" spans="1:34" x14ac:dyDescent="0.25">
      <c r="A66">
        <v>9155</v>
      </c>
      <c r="B66" t="s">
        <v>27</v>
      </c>
      <c r="C66" t="s">
        <v>48</v>
      </c>
      <c r="D66" t="s">
        <v>47</v>
      </c>
      <c r="F66" t="s">
        <v>46</v>
      </c>
      <c r="G66">
        <v>1000091554</v>
      </c>
      <c r="H66" t="s">
        <v>11</v>
      </c>
      <c r="I66" s="1">
        <v>46118</v>
      </c>
      <c r="J66" s="1">
        <v>45045</v>
      </c>
      <c r="K66" t="s">
        <v>45</v>
      </c>
      <c r="L66">
        <v>30</v>
      </c>
      <c r="M66">
        <v>36</v>
      </c>
      <c r="N66" s="1">
        <v>45987</v>
      </c>
      <c r="O66" t="s">
        <v>28</v>
      </c>
      <c r="P66">
        <v>5</v>
      </c>
      <c r="Q66">
        <v>127</v>
      </c>
      <c r="R66">
        <v>246906</v>
      </c>
      <c r="S66">
        <v>438569</v>
      </c>
      <c r="T66">
        <v>1263224</v>
      </c>
      <c r="U66" s="3">
        <v>7001595</v>
      </c>
      <c r="V66">
        <v>1263219</v>
      </c>
      <c r="W66">
        <v>0</v>
      </c>
      <c r="X66">
        <v>33751430</v>
      </c>
      <c r="Y66">
        <v>56973077528</v>
      </c>
      <c r="Z66" t="s">
        <v>44</v>
      </c>
      <c r="AA66" t="s">
        <v>43</v>
      </c>
      <c r="AB66" t="s">
        <v>42</v>
      </c>
      <c r="AC66" t="s">
        <v>41</v>
      </c>
      <c r="AD66" t="s">
        <v>40</v>
      </c>
      <c r="AE66" t="s">
        <v>4</v>
      </c>
      <c r="AF66" t="s">
        <v>39</v>
      </c>
      <c r="AG66" t="s">
        <v>38</v>
      </c>
      <c r="AH66" t="s">
        <v>0</v>
      </c>
    </row>
    <row r="67" spans="1:34" x14ac:dyDescent="0.25">
      <c r="A67">
        <v>6571</v>
      </c>
      <c r="B67" t="s">
        <v>15</v>
      </c>
      <c r="C67" t="s">
        <v>36</v>
      </c>
      <c r="D67" t="s">
        <v>13</v>
      </c>
      <c r="E67">
        <v>37</v>
      </c>
      <c r="F67" t="s">
        <v>35</v>
      </c>
      <c r="G67">
        <v>1000065715</v>
      </c>
      <c r="H67" t="s">
        <v>34</v>
      </c>
      <c r="I67" s="1">
        <v>46118</v>
      </c>
      <c r="J67" s="1">
        <v>44834</v>
      </c>
      <c r="K67" t="s">
        <v>10</v>
      </c>
      <c r="L67">
        <v>36</v>
      </c>
      <c r="M67">
        <v>37</v>
      </c>
      <c r="N67" s="1">
        <v>46079</v>
      </c>
      <c r="O67" t="s">
        <v>16</v>
      </c>
      <c r="P67">
        <v>1</v>
      </c>
      <c r="Q67">
        <v>157</v>
      </c>
      <c r="R67">
        <v>424709</v>
      </c>
      <c r="S67">
        <v>197238</v>
      </c>
      <c r="T67">
        <v>4196000</v>
      </c>
      <c r="U67" s="3">
        <v>4817947</v>
      </c>
      <c r="V67">
        <v>0</v>
      </c>
      <c r="W67">
        <v>0</v>
      </c>
      <c r="X67">
        <v>6628465</v>
      </c>
      <c r="Y67">
        <v>56968233281</v>
      </c>
      <c r="Z67" t="s">
        <v>33</v>
      </c>
      <c r="AA67" t="s">
        <v>22</v>
      </c>
      <c r="AB67" t="s">
        <v>21</v>
      </c>
      <c r="AC67" t="s">
        <v>32</v>
      </c>
      <c r="AD67" t="s">
        <v>31</v>
      </c>
      <c r="AE67" t="s">
        <v>4</v>
      </c>
      <c r="AF67" t="s">
        <v>30</v>
      </c>
      <c r="AG67" t="s">
        <v>29</v>
      </c>
      <c r="AH67" t="s">
        <v>0</v>
      </c>
    </row>
    <row r="68" spans="1:34" x14ac:dyDescent="0.25">
      <c r="A68">
        <v>4742</v>
      </c>
      <c r="B68" t="s">
        <v>27</v>
      </c>
      <c r="C68" t="s">
        <v>26</v>
      </c>
      <c r="D68" t="s">
        <v>25</v>
      </c>
      <c r="E68">
        <v>49</v>
      </c>
      <c r="F68" t="s">
        <v>24</v>
      </c>
      <c r="G68">
        <v>1000047423</v>
      </c>
      <c r="H68" t="s">
        <v>11</v>
      </c>
      <c r="I68" s="1">
        <v>46118</v>
      </c>
      <c r="J68" s="1">
        <v>44740</v>
      </c>
      <c r="K68" t="s">
        <v>10</v>
      </c>
      <c r="L68">
        <v>39</v>
      </c>
      <c r="M68">
        <v>48</v>
      </c>
      <c r="N68" s="1">
        <v>46112</v>
      </c>
      <c r="O68" t="s">
        <v>16</v>
      </c>
      <c r="P68">
        <v>6</v>
      </c>
      <c r="Q68">
        <v>157</v>
      </c>
      <c r="R68">
        <v>116846</v>
      </c>
      <c r="S68">
        <v>172396</v>
      </c>
      <c r="T68">
        <v>273639</v>
      </c>
      <c r="U68" s="3">
        <v>1848563</v>
      </c>
      <c r="V68">
        <v>273639</v>
      </c>
      <c r="W68">
        <v>522005</v>
      </c>
      <c r="X68">
        <v>8338033</v>
      </c>
      <c r="Y68">
        <v>56983406095</v>
      </c>
      <c r="Z68" t="s">
        <v>23</v>
      </c>
      <c r="AA68" t="s">
        <v>22</v>
      </c>
      <c r="AB68" t="s">
        <v>21</v>
      </c>
      <c r="AC68" t="s">
        <v>20</v>
      </c>
      <c r="AD68" t="s">
        <v>19</v>
      </c>
      <c r="AE68" t="s">
        <v>4</v>
      </c>
      <c r="AF68" t="s">
        <v>18</v>
      </c>
      <c r="AG68" t="s">
        <v>17</v>
      </c>
      <c r="AH68" t="s">
        <v>0</v>
      </c>
    </row>
    <row r="69" spans="1:34" x14ac:dyDescent="0.25">
      <c r="A69">
        <v>1628</v>
      </c>
      <c r="B69" t="s">
        <v>15</v>
      </c>
      <c r="C69" t="s">
        <v>14</v>
      </c>
      <c r="D69" t="s">
        <v>13</v>
      </c>
      <c r="E69">
        <v>26</v>
      </c>
      <c r="F69" t="s">
        <v>12</v>
      </c>
      <c r="G69">
        <v>1000016285</v>
      </c>
      <c r="H69" t="s">
        <v>11</v>
      </c>
      <c r="I69" s="1">
        <v>46118</v>
      </c>
      <c r="J69" s="1">
        <v>44469</v>
      </c>
      <c r="K69" t="s">
        <v>10</v>
      </c>
      <c r="L69">
        <v>46</v>
      </c>
      <c r="M69">
        <v>48</v>
      </c>
      <c r="N69" s="1">
        <v>45908</v>
      </c>
      <c r="O69" t="s">
        <v>1</v>
      </c>
      <c r="P69">
        <v>2</v>
      </c>
      <c r="Q69">
        <v>218</v>
      </c>
      <c r="R69">
        <v>43913</v>
      </c>
      <c r="S69">
        <v>27766</v>
      </c>
      <c r="T69">
        <v>161524</v>
      </c>
      <c r="U69" s="3">
        <v>380194</v>
      </c>
      <c r="V69">
        <v>0</v>
      </c>
      <c r="W69">
        <v>0</v>
      </c>
      <c r="X69">
        <v>5688948</v>
      </c>
      <c r="Y69">
        <v>56930689359</v>
      </c>
      <c r="Z69" t="s">
        <v>9</v>
      </c>
      <c r="AA69" t="s">
        <v>8</v>
      </c>
      <c r="AB69" t="s">
        <v>7</v>
      </c>
      <c r="AC69" t="s">
        <v>6</v>
      </c>
      <c r="AD69" t="s">
        <v>5</v>
      </c>
      <c r="AE69" t="s">
        <v>4</v>
      </c>
      <c r="AF69" t="s">
        <v>3</v>
      </c>
      <c r="AG69" t="s">
        <v>2</v>
      </c>
      <c r="AH69" t="s">
        <v>0</v>
      </c>
    </row>
  </sheetData>
  <pageMargins left="0.7" right="0.7" top="0.75" bottom="0.75" header="0.3" footer="0.3"/>
  <headerFooter>
    <oddFooter>&amp;C_x000D_&amp;1#&amp;"Arial"&amp;8&amp;K000000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5875-A189-4A67-A6D8-8AB476397D73}">
  <dimension ref="A3:C10"/>
  <sheetViews>
    <sheetView workbookViewId="0">
      <selection activeCell="H9" sqref="H9"/>
    </sheetView>
  </sheetViews>
  <sheetFormatPr baseColWidth="10" defaultRowHeight="15" x14ac:dyDescent="0.25"/>
  <cols>
    <col min="1" max="1" width="16.5703125" bestFit="1" customWidth="1"/>
    <col min="2" max="2" width="19.42578125" bestFit="1" customWidth="1"/>
    <col min="3" max="3" width="22.5703125" bestFit="1" customWidth="1"/>
  </cols>
  <sheetData>
    <row r="3" spans="1:3" x14ac:dyDescent="0.25">
      <c r="A3" s="4" t="s">
        <v>440</v>
      </c>
      <c r="B3" t="s">
        <v>442</v>
      </c>
      <c r="C3" t="s">
        <v>443</v>
      </c>
    </row>
    <row r="4" spans="1:3" x14ac:dyDescent="0.25">
      <c r="A4" s="5" t="s">
        <v>115</v>
      </c>
      <c r="B4">
        <v>31</v>
      </c>
      <c r="C4" s="6">
        <v>23211358</v>
      </c>
    </row>
    <row r="5" spans="1:3" x14ac:dyDescent="0.25">
      <c r="A5" s="5" t="s">
        <v>74</v>
      </c>
      <c r="B5">
        <v>22</v>
      </c>
      <c r="C5" s="6">
        <v>23929731</v>
      </c>
    </row>
    <row r="6" spans="1:3" x14ac:dyDescent="0.25">
      <c r="A6" s="5" t="s">
        <v>37</v>
      </c>
      <c r="B6">
        <v>6</v>
      </c>
      <c r="C6" s="6">
        <v>12694119</v>
      </c>
    </row>
    <row r="7" spans="1:3" x14ac:dyDescent="0.25">
      <c r="A7" s="5" t="s">
        <v>28</v>
      </c>
      <c r="B7">
        <v>4</v>
      </c>
      <c r="C7" s="6">
        <v>16293113</v>
      </c>
    </row>
    <row r="8" spans="1:3" x14ac:dyDescent="0.25">
      <c r="A8" s="5" t="s">
        <v>16</v>
      </c>
      <c r="B8">
        <v>2</v>
      </c>
      <c r="C8" s="6">
        <v>6666510</v>
      </c>
    </row>
    <row r="9" spans="1:3" x14ac:dyDescent="0.25">
      <c r="A9" s="5" t="s">
        <v>1</v>
      </c>
      <c r="B9">
        <v>1</v>
      </c>
      <c r="C9" s="6">
        <v>380194</v>
      </c>
    </row>
    <row r="10" spans="1:3" x14ac:dyDescent="0.25">
      <c r="A10" s="5" t="s">
        <v>441</v>
      </c>
      <c r="B10">
        <v>66</v>
      </c>
      <c r="C10" s="6">
        <v>83175025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02fb1-c5ee-4840-9022-7f54bf489263">
      <Terms xmlns="http://schemas.microsoft.com/office/infopath/2007/PartnerControls"/>
    </lcf76f155ced4ddcb4097134ff3c332f>
    <TaxCatchAll xmlns="d6642a5c-b4da-4fa4-b1a4-5124a90a47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6FC805E5D06A4096CC610B6DBE3AB3" ma:contentTypeVersion="18" ma:contentTypeDescription="Create a new document." ma:contentTypeScope="" ma:versionID="bf70865219dd9fe610f89e41f0c795bc">
  <xsd:schema xmlns:xsd="http://www.w3.org/2001/XMLSchema" xmlns:xs="http://www.w3.org/2001/XMLSchema" xmlns:p="http://schemas.microsoft.com/office/2006/metadata/properties" xmlns:ns2="d6642a5c-b4da-4fa4-b1a4-5124a90a47f5" xmlns:ns3="cd002fb1-c5ee-4840-9022-7f54bf489263" targetNamespace="http://schemas.microsoft.com/office/2006/metadata/properties" ma:root="true" ma:fieldsID="0e7a68c5e75263ed42e5af04bb8d0530" ns2:_="" ns3:_="">
    <xsd:import namespace="d6642a5c-b4da-4fa4-b1a4-5124a90a47f5"/>
    <xsd:import namespace="cd002fb1-c5ee-4840-9022-7f54bf4892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42a5c-b4da-4fa4-b1a4-5124a90a47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19ee6b-0264-41c2-8b68-bd23e5f7e390}" ma:internalName="TaxCatchAll" ma:showField="CatchAllData" ma:web="d6642a5c-b4da-4fa4-b1a4-5124a90a4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02fb1-c5ee-4840-9022-7f54bf489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a9443b8-1e49-4a53-a8e6-a312646d4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8D94D-7C46-4F89-9752-E51ECD4286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E7873C-760F-48F1-A662-49072F39FAF4}">
  <ds:schemaRefs>
    <ds:schemaRef ds:uri="http://schemas.microsoft.com/office/2006/metadata/properties"/>
    <ds:schemaRef ds:uri="http://schemas.microsoft.com/office/infopath/2007/PartnerControls"/>
    <ds:schemaRef ds:uri="cd002fb1-c5ee-4840-9022-7f54bf489263"/>
    <ds:schemaRef ds:uri="d6642a5c-b4da-4fa4-b1a4-5124a90a47f5"/>
  </ds:schemaRefs>
</ds:datastoreItem>
</file>

<file path=customXml/itemProps3.xml><?xml version="1.0" encoding="utf-8"?>
<ds:datastoreItem xmlns:ds="http://schemas.openxmlformats.org/officeDocument/2006/customXml" ds:itemID="{31C0C894-615F-433D-8C53-D04D1B085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642a5c-b4da-4fa4-b1a4-5124a90a47f5"/>
    <ds:schemaRef ds:uri="cd002fb1-c5ee-4840-9022-7f54bf489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Frank (PFGCL - CL/Santiago)</dc:creator>
  <cp:lastModifiedBy>Felipe Sebastian Luis Montecino Ulloa</cp:lastModifiedBy>
  <dcterms:created xsi:type="dcterms:W3CDTF">2026-04-06T21:43:29Z</dcterms:created>
  <dcterms:modified xsi:type="dcterms:W3CDTF">2026-04-07T13:26:39Z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d67188-4396-4f49-b241-070cf408d0d1_Enabled">
    <vt:lpwstr>true</vt:lpwstr>
  </property>
  <property fmtid="{D5CDD505-2E9C-101B-9397-08002B2CF9AE}" pid="3" name="MSIP_Label_43d67188-4396-4f49-b241-070cf408d0d1_SetDate">
    <vt:lpwstr>2026-04-06T21:43:32Z</vt:lpwstr>
  </property>
  <property fmtid="{D5CDD505-2E9C-101B-9397-08002B2CF9AE}" pid="4" name="MSIP_Label_43d67188-4396-4f49-b241-070cf408d0d1_Method">
    <vt:lpwstr>Standard</vt:lpwstr>
  </property>
  <property fmtid="{D5CDD505-2E9C-101B-9397-08002B2CF9AE}" pid="5" name="MSIP_Label_43d67188-4396-4f49-b241-070cf408d0d1_Name">
    <vt:lpwstr>43d67188-4396-4f49-b241-070cf408d0d1</vt:lpwstr>
  </property>
  <property fmtid="{D5CDD505-2E9C-101B-9397-08002B2CF9AE}" pid="6" name="MSIP_Label_43d67188-4396-4f49-b241-070cf408d0d1_SiteId">
    <vt:lpwstr>0f6f68be-4ef2-465a-986b-eb9a250d9789</vt:lpwstr>
  </property>
  <property fmtid="{D5CDD505-2E9C-101B-9397-08002B2CF9AE}" pid="7" name="MSIP_Label_43d67188-4396-4f49-b241-070cf408d0d1_ActionId">
    <vt:lpwstr>2aacdf5e-7406-4cca-8e8f-194809a6ac0e</vt:lpwstr>
  </property>
  <property fmtid="{D5CDD505-2E9C-101B-9397-08002B2CF9AE}" pid="8" name="MSIP_Label_43d67188-4396-4f49-b241-070cf408d0d1_ContentBits">
    <vt:lpwstr>2</vt:lpwstr>
  </property>
  <property fmtid="{D5CDD505-2E9C-101B-9397-08002B2CF9AE}" pid="9" name="MSIP_Label_43d67188-4396-4f49-b241-070cf408d0d1_Tag">
    <vt:lpwstr>10, 3, 0, 1</vt:lpwstr>
  </property>
  <property fmtid="{D5CDD505-2E9C-101B-9397-08002B2CF9AE}" pid="10" name="ContentTypeId">
    <vt:lpwstr>0x010100B76FC805E5D06A4096CC610B6DBE3AB3</vt:lpwstr>
  </property>
  <property fmtid="{D5CDD505-2E9C-101B-9397-08002B2CF9AE}" pid="11" name="MediaServiceImageTags">
    <vt:lpwstr/>
  </property>
</Properties>
</file>